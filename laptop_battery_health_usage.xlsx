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utaw\Documents\GitHub\laptop_battery_health\"/>
    </mc:Choice>
  </mc:AlternateContent>
  <xr:revisionPtr revIDLastSave="0" documentId="13_ncr:1_{3F4FACFF-6797-43CC-9619-61D2246CF8F6}" xr6:coauthVersionLast="47" xr6:coauthVersionMax="47" xr10:uidLastSave="{00000000-0000-0000-0000-000000000000}"/>
  <bookViews>
    <workbookView xWindow="-108" yWindow="-108" windowWidth="23256" windowHeight="12456" activeTab="3" xr2:uid="{A000AE65-9C4C-4AB1-BC34-447772820206}"/>
  </bookViews>
  <sheets>
    <sheet name="Table1" sheetId="3" r:id="rId1"/>
    <sheet name="Sheet3" sheetId="6" r:id="rId2"/>
    <sheet name="Table3" sheetId="5" r:id="rId3"/>
    <sheet name="laptop_battery_health_usage" sheetId="1" r:id="rId4"/>
    <sheet name="Sheet2" sheetId="4" r:id="rId5"/>
    <sheet name="Sheet1" sheetId="2" r:id="rId6"/>
  </sheets>
  <definedNames>
    <definedName name="_xlchart.v1.0" hidden="1">laptop_battery_health_usage!$B$2:$B$51</definedName>
    <definedName name="_xlchart.v1.1" hidden="1">laptop_battery_health_usage!$I$2:$I$51</definedName>
    <definedName name="_xlchart.v1.10" hidden="1">laptop_battery_health_usage!$H$2:$H$50</definedName>
    <definedName name="_xlchart.v1.11" hidden="1">laptop_battery_health_usage!$I$2:$I$51</definedName>
    <definedName name="_xlchart.v1.12" hidden="1">laptop_battery_health_usage!$B$2:$B$50</definedName>
    <definedName name="_xlchart.v1.13" hidden="1">laptop_battery_health_usage!$B$2:$B$51</definedName>
    <definedName name="_xlchart.v1.14" hidden="1">laptop_battery_health_usage!$H$1</definedName>
    <definedName name="_xlchart.v1.15" hidden="1">laptop_battery_health_usage!$H$2:$H$50</definedName>
    <definedName name="_xlchart.v1.16" hidden="1">laptop_battery_health_usage!$I$2:$I$51</definedName>
    <definedName name="_xlchart.v1.2" hidden="1">laptop_battery_health_usage!$B$2:$B$50</definedName>
    <definedName name="_xlchart.v1.3" hidden="1">laptop_battery_health_usage!$B$2:$B$51</definedName>
    <definedName name="_xlchart.v1.4" hidden="1">laptop_battery_health_usage!$H$1</definedName>
    <definedName name="_xlchart.v1.5" hidden="1">laptop_battery_health_usage!$H$2:$H$50</definedName>
    <definedName name="_xlchart.v1.6" hidden="1">laptop_battery_health_usage!$I$2:$I$51</definedName>
    <definedName name="_xlchart.v1.7" hidden="1">laptop_battery_health_usage!$B$2:$B$50</definedName>
    <definedName name="_xlchart.v1.8" hidden="1">laptop_battery_health_usage!$B$2:$B$51</definedName>
    <definedName name="_xlchart.v1.9" hidden="1">laptop_battery_health_usage!$H$1</definedName>
    <definedName name="_xlcn.WorksheetConnection_laptop_battery_health_usage.xlsxTable3_21" hidden="1">Table3_2[]</definedName>
    <definedName name="ExternalData_1" localSheetId="0" hidden="1">Table1!$A$1:$H$9</definedName>
    <definedName name="ExternalData_1" localSheetId="2" hidden="1">Table3!$A$1:$L$51</definedName>
  </definedNames>
  <calcPr calcId="191029"/>
  <extLst>
    <ext xmlns:x15="http://schemas.microsoft.com/office/spreadsheetml/2010/11/main" uri="{841E416B-1EF1-43b6-AB56-02D37102CBD5}">
      <x15:pivotCaches>
        <pivotCache cacheId="161" r:id="rId7"/>
        <pivotCache cacheId="162" r:id="rId8"/>
        <pivotCache cacheId="164" r:id="rId9"/>
        <pivotCache cacheId="185" r:id="rId10"/>
      </x15:pivotCaches>
    </ext>
    <ext xmlns:x15="http://schemas.microsoft.com/office/spreadsheetml/2010/11/main" uri="{983426D0-5260-488c-9760-48F4B6AC55F4}">
      <x15:pivotTableReferences>
        <x15:pivotTableReference r:id="rId11"/>
        <x15:pivotTableReference r:id="rId12"/>
        <x15:pivotTableReference r:id="rId13"/>
        <x15:pivotTableReference r:id="rId14"/>
      </x15:pivotTableReferences>
    </ext>
    <ext xmlns:x15="http://schemas.microsoft.com/office/spreadsheetml/2010/11/main" uri="{FCE2AD5D-F65C-4FA6-A056-5C36A1767C68}">
      <x15:dataModel>
        <x15:modelTables>
          <x15:modelTable id="Table3_2" name="Table3_2" connection="WorksheetConnection_laptop_battery_health_usage.xlsx!Table3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7" i="1" l="1"/>
  <c r="C57" i="1"/>
  <c r="D57" i="1"/>
  <c r="E57" i="1"/>
  <c r="F57" i="1"/>
  <c r="G57" i="1"/>
  <c r="H57" i="1"/>
  <c r="B58" i="1"/>
  <c r="C58" i="1"/>
  <c r="D58" i="1"/>
  <c r="E58" i="1"/>
  <c r="F58" i="1"/>
  <c r="G58" i="1"/>
  <c r="H58" i="1"/>
  <c r="B59" i="1"/>
  <c r="C59" i="1"/>
  <c r="D59" i="1"/>
  <c r="E59" i="1"/>
  <c r="F59" i="1"/>
  <c r="G59" i="1"/>
  <c r="H59" i="1"/>
  <c r="B60" i="1"/>
  <c r="C60" i="1"/>
  <c r="D60" i="1"/>
  <c r="E60" i="1"/>
  <c r="F60" i="1"/>
  <c r="G60" i="1"/>
  <c r="H60" i="1"/>
  <c r="B61" i="1"/>
  <c r="C61" i="1"/>
  <c r="D61" i="1"/>
  <c r="E61" i="1"/>
  <c r="F61" i="1"/>
  <c r="G61" i="1"/>
  <c r="H61" i="1"/>
  <c r="B62" i="1"/>
  <c r="C62" i="1"/>
  <c r="D62" i="1"/>
  <c r="E62" i="1"/>
  <c r="F62" i="1"/>
  <c r="G62" i="1"/>
  <c r="H62" i="1"/>
  <c r="B63" i="1"/>
  <c r="C63" i="1"/>
  <c r="D63" i="1"/>
  <c r="E63" i="1"/>
  <c r="F63" i="1"/>
  <c r="G63" i="1"/>
  <c r="H63" i="1"/>
  <c r="B64" i="1"/>
  <c r="C64" i="1"/>
  <c r="D64" i="1"/>
  <c r="E64" i="1"/>
  <c r="F64" i="1"/>
  <c r="G64" i="1"/>
  <c r="H64" i="1"/>
  <c r="B8" i="2"/>
  <c r="B7" i="2"/>
  <c r="B6" i="2"/>
  <c r="B9" i="2"/>
  <c r="B5" i="2"/>
  <c r="B4" i="2"/>
  <c r="B3" i="2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2DE401-E86F-4C61-9323-1482F16C26E3}" keepAlive="1" name="Query - Table1" description="Connection to the 'Table1' query in the workbook." type="5" refreshedVersion="7" background="1" saveData="1">
    <dbPr connection="Provider=Microsoft.Mashup.OleDb.1;Data Source=$Workbook$;Location=Table1;Extended Properties=&quot;&quot;" command="SELECT * FROM [Table1]"/>
  </connection>
  <connection id="2" xr16:uid="{4690A18F-E8AB-4DD3-B20C-B9F12B674E0E}" keepAlive="1" name="Query - Table3" description="Connection to the 'Table3' query in the workbook." type="5" refreshedVersion="7" background="1" saveData="1">
    <dbPr connection="Provider=Microsoft.Mashup.OleDb.1;Data Source=$Workbook$;Location=Table3;Extended Properties=&quot;&quot;" command="SELECT * FROM [Table3]"/>
  </connection>
  <connection id="3" xr16:uid="{AFB63F93-BDDC-4CD9-8389-79DCE155594D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C9B271EF-03AA-4CF9-B42B-D97D8C67C78E}" name="WorksheetConnection_laptop_battery_health_usage.xlsx!Table3_2" type="102" refreshedVersion="7" minRefreshableVersion="5">
    <extLst>
      <ext xmlns:x15="http://schemas.microsoft.com/office/spreadsheetml/2010/11/main" uri="{DE250136-89BD-433C-8126-D09CA5730AF9}">
        <x15:connection id="Table3_2" autoDelete="1">
          <x15:rangePr sourceName="_xlcn.WorksheetConnection_laptop_battery_health_usage.xlsxTable3_21"/>
        </x15:connection>
      </ext>
    </extLst>
  </connection>
</connections>
</file>

<file path=xl/sharedStrings.xml><?xml version="1.0" encoding="utf-8"?>
<sst xmlns="http://schemas.openxmlformats.org/spreadsheetml/2006/main" count="568" uniqueCount="107">
  <si>
    <t>os</t>
  </si>
  <si>
    <t>LB001</t>
  </si>
  <si>
    <t>HP</t>
  </si>
  <si>
    <t>Windows</t>
  </si>
  <si>
    <t>Office</t>
  </si>
  <si>
    <t>No</t>
  </si>
  <si>
    <t>LB002</t>
  </si>
  <si>
    <t>Dell</t>
  </si>
  <si>
    <t>Programming</t>
  </si>
  <si>
    <t>Yes</t>
  </si>
  <si>
    <t>LB003</t>
  </si>
  <si>
    <t>Apple</t>
  </si>
  <si>
    <t>macOS</t>
  </si>
  <si>
    <t>Creative</t>
  </si>
  <si>
    <t>LB004</t>
  </si>
  <si>
    <t>Lenovo</t>
  </si>
  <si>
    <t>Student</t>
  </si>
  <si>
    <t>LB005</t>
  </si>
  <si>
    <t>Asus</t>
  </si>
  <si>
    <t>Gaming</t>
  </si>
  <si>
    <t>LB006</t>
  </si>
  <si>
    <t>Acer</t>
  </si>
  <si>
    <t>LB007</t>
  </si>
  <si>
    <t>LB008</t>
  </si>
  <si>
    <t>LB009</t>
  </si>
  <si>
    <t>LB010</t>
  </si>
  <si>
    <t>LB011</t>
  </si>
  <si>
    <t>LB012</t>
  </si>
  <si>
    <t>LB013</t>
  </si>
  <si>
    <t>LB014</t>
  </si>
  <si>
    <t>LB015</t>
  </si>
  <si>
    <t>LB016</t>
  </si>
  <si>
    <t>LB017</t>
  </si>
  <si>
    <t>LB018</t>
  </si>
  <si>
    <t>LB019</t>
  </si>
  <si>
    <t>LB020</t>
  </si>
  <si>
    <t>LB021</t>
  </si>
  <si>
    <t>LB022</t>
  </si>
  <si>
    <t>LB023</t>
  </si>
  <si>
    <t>LB024</t>
  </si>
  <si>
    <t>LB025</t>
  </si>
  <si>
    <t>LB026</t>
  </si>
  <si>
    <t>LB027</t>
  </si>
  <si>
    <t>LB028</t>
  </si>
  <si>
    <t>LB029</t>
  </si>
  <si>
    <t>LB030</t>
  </si>
  <si>
    <t>LB031</t>
  </si>
  <si>
    <t>LB032</t>
  </si>
  <si>
    <t>LB033</t>
  </si>
  <si>
    <t>LB034</t>
  </si>
  <si>
    <t>LB035</t>
  </si>
  <si>
    <t>LB036</t>
  </si>
  <si>
    <t>LB037</t>
  </si>
  <si>
    <t>LB038</t>
  </si>
  <si>
    <t>LB039</t>
  </si>
  <si>
    <t>LB040</t>
  </si>
  <si>
    <t>LB041</t>
  </si>
  <si>
    <t>LB042</t>
  </si>
  <si>
    <t>LB043</t>
  </si>
  <si>
    <t>LB044</t>
  </si>
  <si>
    <t>LB045</t>
  </si>
  <si>
    <t>LB046</t>
  </si>
  <si>
    <t>LB047</t>
  </si>
  <si>
    <t>LB048</t>
  </si>
  <si>
    <t>LB049</t>
  </si>
  <si>
    <t>LB050</t>
  </si>
  <si>
    <t>デバイスID</t>
    <phoneticPr fontId="18"/>
  </si>
  <si>
    <t>ブランド</t>
    <phoneticPr fontId="18"/>
  </si>
  <si>
    <t>モデル年（発売年）</t>
    <phoneticPr fontId="18"/>
  </si>
  <si>
    <t>使用用途（利用タイプ）</t>
    <phoneticPr fontId="18"/>
  </si>
  <si>
    <t>1日あたりの使用時間（時間）</t>
    <phoneticPr fontId="18"/>
  </si>
  <si>
    <t>充電サイクル回数</t>
    <phoneticPr fontId="18"/>
  </si>
  <si>
    <t>平均充電上限（%）</t>
    <phoneticPr fontId="18"/>
  </si>
  <si>
    <t>バッテリー健康度（%）</t>
    <phoneticPr fontId="18"/>
  </si>
  <si>
    <t>バッテリー経過月数（か月）</t>
    <phoneticPr fontId="18"/>
  </si>
  <si>
    <t>過熱問題の有無</t>
    <phoneticPr fontId="18"/>
  </si>
  <si>
    <t>性能評価（レーティング）</t>
    <phoneticPr fontId="18"/>
  </si>
  <si>
    <t>1日あたりの使用時間</t>
  </si>
  <si>
    <t>max</t>
  </si>
  <si>
    <t>max</t>
    <phoneticPr fontId="18"/>
  </si>
  <si>
    <t>min</t>
  </si>
  <si>
    <t>min</t>
    <phoneticPr fontId="18"/>
  </si>
  <si>
    <t>count</t>
  </si>
  <si>
    <t>count</t>
    <phoneticPr fontId="18"/>
  </si>
  <si>
    <t>mean</t>
  </si>
  <si>
    <t>mean</t>
    <phoneticPr fontId="18"/>
  </si>
  <si>
    <t>std</t>
  </si>
  <si>
    <t>std</t>
    <phoneticPr fontId="18"/>
  </si>
  <si>
    <t>モデル年（発売年）</t>
  </si>
  <si>
    <t>25%（第1四分位数）</t>
  </si>
  <si>
    <t>25%（第1四分位数）</t>
    <phoneticPr fontId="18"/>
  </si>
  <si>
    <t>50%（中央値 / median）</t>
  </si>
  <si>
    <t>50%（中央値 / median）</t>
    <phoneticPr fontId="18"/>
  </si>
  <si>
    <t>75%（第3四分位数）</t>
  </si>
  <si>
    <t>75%（第3四分位数）</t>
    <phoneticPr fontId="18"/>
  </si>
  <si>
    <t>Column1</t>
  </si>
  <si>
    <t>充電サイクル回数</t>
  </si>
  <si>
    <t>平均充電上限（%）</t>
  </si>
  <si>
    <t>バッテリー健康度（%）</t>
  </si>
  <si>
    <t>バッテリー経過月数（か月）</t>
  </si>
  <si>
    <t>性能評価（レーティング）</t>
  </si>
  <si>
    <t>Analysis</t>
    <phoneticPr fontId="18"/>
  </si>
  <si>
    <t>ブランド</t>
  </si>
  <si>
    <t>デバイスID</t>
  </si>
  <si>
    <t>使用用途（利用タイプ）</t>
  </si>
  <si>
    <t>1日あたりの使用時間（時間）</t>
  </si>
  <si>
    <t>過熱問題の有無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</si>
</sst>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0" xfId="0" applyNumberForma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ivotTable" Target="pivotTables/pivotTable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pivotCacheDefinition" Target="pivotCache/pivotCacheDefinition1.xml"/><Relationship Id="rId12" Type="http://schemas.openxmlformats.org/officeDocument/2006/relationships/pivotTable" Target="pivotTables/pivotTable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Table" Target="pivotTables/pivotTable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4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Table" Target="pivotTables/pivotTable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baseline="0"/>
              <a:t>OS Comparison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v>80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Creative</c:v>
              </c:pt>
              <c:pt idx="1">
                <c:v>Gaming</c:v>
              </c:pt>
              <c:pt idx="2">
                <c:v>Office</c:v>
              </c:pt>
              <c:pt idx="3">
                <c:v>Programming</c:v>
              </c:pt>
              <c:pt idx="4">
                <c:v>Student</c:v>
              </c:pt>
            </c:strLit>
          </c:cat>
          <c:val>
            <c:numLit>
              <c:formatCode>General</c:formatCode>
              <c:ptCount val="5"/>
              <c:pt idx="0">
                <c:v>400</c:v>
              </c:pt>
              <c:pt idx="3">
                <c:v>1030</c:v>
              </c:pt>
            </c:numLit>
          </c:val>
          <c:extLst>
            <c:ext xmlns:c16="http://schemas.microsoft.com/office/drawing/2014/chart" uri="{C3380CC4-5D6E-409C-BE32-E72D297353CC}">
              <c16:uniqueId val="{00000073-12A6-46CE-B52D-F994E1E51EEA}"/>
            </c:ext>
          </c:extLst>
        </c:ser>
        <c:ser>
          <c:idx val="1"/>
          <c:order val="1"/>
          <c:tx>
            <c:v>85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Creative</c:v>
              </c:pt>
              <c:pt idx="1">
                <c:v>Gaming</c:v>
              </c:pt>
              <c:pt idx="2">
                <c:v>Office</c:v>
              </c:pt>
              <c:pt idx="3">
                <c:v>Programming</c:v>
              </c:pt>
              <c:pt idx="4">
                <c:v>Student</c:v>
              </c:pt>
            </c:strLit>
          </c:cat>
          <c:val>
            <c:numLit>
              <c:formatCode>General</c:formatCode>
              <c:ptCount val="5"/>
              <c:pt idx="0">
                <c:v>2250</c:v>
              </c:pt>
              <c:pt idx="2">
                <c:v>410</c:v>
              </c:pt>
              <c:pt idx="3">
                <c:v>1030</c:v>
              </c:pt>
            </c:numLit>
          </c:val>
          <c:extLst>
            <c:ext xmlns:c16="http://schemas.microsoft.com/office/drawing/2014/chart" uri="{C3380CC4-5D6E-409C-BE32-E72D297353CC}">
              <c16:uniqueId val="{00000075-12A6-46CE-B52D-F994E1E51EEA}"/>
            </c:ext>
          </c:extLst>
        </c:ser>
        <c:ser>
          <c:idx val="2"/>
          <c:order val="2"/>
          <c:tx>
            <c:v>90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Creative</c:v>
              </c:pt>
              <c:pt idx="1">
                <c:v>Gaming</c:v>
              </c:pt>
              <c:pt idx="2">
                <c:v>Office</c:v>
              </c:pt>
              <c:pt idx="3">
                <c:v>Programming</c:v>
              </c:pt>
              <c:pt idx="4">
                <c:v>Student</c:v>
              </c:pt>
            </c:strLit>
          </c:cat>
          <c:val>
            <c:numLit>
              <c:formatCode>General</c:formatCode>
              <c:ptCount val="5"/>
              <c:pt idx="2">
                <c:v>2770</c:v>
              </c:pt>
              <c:pt idx="3">
                <c:v>800</c:v>
              </c:pt>
              <c:pt idx="4">
                <c:v>920</c:v>
              </c:pt>
            </c:numLit>
          </c:val>
          <c:extLst>
            <c:ext xmlns:c16="http://schemas.microsoft.com/office/drawing/2014/chart" uri="{C3380CC4-5D6E-409C-BE32-E72D297353CC}">
              <c16:uniqueId val="{00000076-12A6-46CE-B52D-F994E1E51EEA}"/>
            </c:ext>
          </c:extLst>
        </c:ser>
        <c:ser>
          <c:idx val="3"/>
          <c:order val="3"/>
          <c:tx>
            <c:v>95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Creative</c:v>
              </c:pt>
              <c:pt idx="1">
                <c:v>Gaming</c:v>
              </c:pt>
              <c:pt idx="2">
                <c:v>Office</c:v>
              </c:pt>
              <c:pt idx="3">
                <c:v>Programming</c:v>
              </c:pt>
              <c:pt idx="4">
                <c:v>Student</c:v>
              </c:pt>
            </c:strLit>
          </c:cat>
          <c:val>
            <c:numLit>
              <c:formatCode>General</c:formatCode>
              <c:ptCount val="5"/>
              <c:pt idx="2">
                <c:v>3340</c:v>
              </c:pt>
              <c:pt idx="4">
                <c:v>1160</c:v>
              </c:pt>
            </c:numLit>
          </c:val>
          <c:extLst>
            <c:ext xmlns:c16="http://schemas.microsoft.com/office/drawing/2014/chart" uri="{C3380CC4-5D6E-409C-BE32-E72D297353CC}">
              <c16:uniqueId val="{00000077-12A6-46CE-B52D-F994E1E51EEA}"/>
            </c:ext>
          </c:extLst>
        </c:ser>
        <c:ser>
          <c:idx val="4"/>
          <c:order val="4"/>
          <c:tx>
            <c:v>100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Creative</c:v>
              </c:pt>
              <c:pt idx="1">
                <c:v>Gaming</c:v>
              </c:pt>
              <c:pt idx="2">
                <c:v>Office</c:v>
              </c:pt>
              <c:pt idx="3">
                <c:v>Programming</c:v>
              </c:pt>
              <c:pt idx="4">
                <c:v>Student</c:v>
              </c:pt>
            </c:strLit>
          </c:cat>
          <c:val>
            <c:numLit>
              <c:formatCode>General</c:formatCode>
              <c:ptCount val="5"/>
              <c:pt idx="1">
                <c:v>4680</c:v>
              </c:pt>
              <c:pt idx="2">
                <c:v>1750</c:v>
              </c:pt>
              <c:pt idx="3">
                <c:v>1780</c:v>
              </c:pt>
              <c:pt idx="4">
                <c:v>4000</c:v>
              </c:pt>
            </c:numLit>
          </c:val>
          <c:extLst>
            <c:ext xmlns:c16="http://schemas.microsoft.com/office/drawing/2014/chart" uri="{C3380CC4-5D6E-409C-BE32-E72D297353CC}">
              <c16:uniqueId val="{00000078-12A6-46CE-B52D-F994E1E51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09417376"/>
        <c:axId val="1709418208"/>
      </c:barChart>
      <c:catAx>
        <c:axId val="1709417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利用タイプ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09418208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70941820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000" b="0" i="0" u="none" strike="noStrike" baseline="0"/>
                  <a:t>平均充電上限（</a:t>
                </a:r>
                <a:r>
                  <a:rPr lang="en-US" altLang="ja-JP" sz="1000" b="0" i="0" u="none" strike="noStrike" baseline="0"/>
                  <a:t>%</a:t>
                </a:r>
                <a:r>
                  <a:rPr lang="ja-JP" altLang="en-US" sz="1000" b="0" i="0" u="none" strike="noStrike" baseline="0"/>
                  <a:t>）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094173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[laptop_battery_health_usage.xlsx]PivotChartTable1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baseline="0"/>
              <a:t>OS Comparison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v>Acer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Lit>
              <c:ptCount val="2"/>
              <c:pt idx="0">
                <c:v>macOS</c:v>
              </c:pt>
              <c:pt idx="1">
                <c:v>Windows</c:v>
              </c:pt>
            </c:strLit>
          </c:cat>
          <c:val>
            <c:numLit>
              <c:formatCode>General</c:formatCode>
              <c:ptCount val="2"/>
              <c:pt idx="1">
                <c:v>634</c:v>
              </c:pt>
            </c:numLit>
          </c:val>
          <c:extLst>
            <c:ext xmlns:c16="http://schemas.microsoft.com/office/drawing/2014/chart" uri="{C3380CC4-5D6E-409C-BE32-E72D297353CC}">
              <c16:uniqueId val="{00000000-972D-4A98-BCB5-F24653C5459D}"/>
            </c:ext>
          </c:extLst>
        </c:ser>
        <c:ser>
          <c:idx val="1"/>
          <c:order val="1"/>
          <c:tx>
            <c:v>Apple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Lit>
              <c:ptCount val="2"/>
              <c:pt idx="0">
                <c:v>macOS</c:v>
              </c:pt>
              <c:pt idx="1">
                <c:v>Windows</c:v>
              </c:pt>
            </c:strLit>
          </c:cat>
          <c:val>
            <c:numLit>
              <c:formatCode>General</c:formatCode>
              <c:ptCount val="2"/>
              <c:pt idx="0">
                <c:v>806</c:v>
              </c:pt>
            </c:numLit>
          </c:val>
          <c:extLst>
            <c:ext xmlns:c16="http://schemas.microsoft.com/office/drawing/2014/chart" uri="{C3380CC4-5D6E-409C-BE32-E72D297353CC}">
              <c16:uniqueId val="{00000001-972D-4A98-BCB5-F24653C5459D}"/>
            </c:ext>
          </c:extLst>
        </c:ser>
        <c:ser>
          <c:idx val="2"/>
          <c:order val="2"/>
          <c:tx>
            <c:v>Asus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Lit>
              <c:ptCount val="2"/>
              <c:pt idx="0">
                <c:v>macOS</c:v>
              </c:pt>
              <c:pt idx="1">
                <c:v>Windows</c:v>
              </c:pt>
            </c:strLit>
          </c:cat>
          <c:val>
            <c:numLit>
              <c:formatCode>General</c:formatCode>
              <c:ptCount val="2"/>
              <c:pt idx="1">
                <c:v>561</c:v>
              </c:pt>
            </c:numLit>
          </c:val>
          <c:extLst>
            <c:ext xmlns:c16="http://schemas.microsoft.com/office/drawing/2014/chart" uri="{C3380CC4-5D6E-409C-BE32-E72D297353CC}">
              <c16:uniqueId val="{00000002-972D-4A98-BCB5-F24653C5459D}"/>
            </c:ext>
          </c:extLst>
        </c:ser>
        <c:ser>
          <c:idx val="3"/>
          <c:order val="3"/>
          <c:tx>
            <c:v>Dell</c:v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Lit>
              <c:ptCount val="2"/>
              <c:pt idx="0">
                <c:v>macOS</c:v>
              </c:pt>
              <c:pt idx="1">
                <c:v>Windows</c:v>
              </c:pt>
            </c:strLit>
          </c:cat>
          <c:val>
            <c:numLit>
              <c:formatCode>General</c:formatCode>
              <c:ptCount val="2"/>
              <c:pt idx="1">
                <c:v>647</c:v>
              </c:pt>
            </c:numLit>
          </c:val>
          <c:extLst>
            <c:ext xmlns:c16="http://schemas.microsoft.com/office/drawing/2014/chart" uri="{C3380CC4-5D6E-409C-BE32-E72D297353CC}">
              <c16:uniqueId val="{00000003-972D-4A98-BCB5-F24653C5459D}"/>
            </c:ext>
          </c:extLst>
        </c:ser>
        <c:ser>
          <c:idx val="4"/>
          <c:order val="4"/>
          <c:tx>
            <c:v>HP</c:v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Lit>
              <c:ptCount val="2"/>
              <c:pt idx="0">
                <c:v>macOS</c:v>
              </c:pt>
              <c:pt idx="1">
                <c:v>Windows</c:v>
              </c:pt>
            </c:strLit>
          </c:cat>
          <c:val>
            <c:numLit>
              <c:formatCode>General</c:formatCode>
              <c:ptCount val="2"/>
              <c:pt idx="1">
                <c:v>727</c:v>
              </c:pt>
            </c:numLit>
          </c:val>
          <c:extLst>
            <c:ext xmlns:c16="http://schemas.microsoft.com/office/drawing/2014/chart" uri="{C3380CC4-5D6E-409C-BE32-E72D297353CC}">
              <c16:uniqueId val="{00000004-972D-4A98-BCB5-F24653C5459D}"/>
            </c:ext>
          </c:extLst>
        </c:ser>
        <c:ser>
          <c:idx val="5"/>
          <c:order val="5"/>
          <c:tx>
            <c:v>Lenovo</c:v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Lit>
              <c:ptCount val="2"/>
              <c:pt idx="0">
                <c:v>macOS</c:v>
              </c:pt>
              <c:pt idx="1">
                <c:v>Windows</c:v>
              </c:pt>
            </c:strLit>
          </c:cat>
          <c:val>
            <c:numLit>
              <c:formatCode>General</c:formatCode>
              <c:ptCount val="2"/>
              <c:pt idx="1">
                <c:v>633</c:v>
              </c:pt>
            </c:numLit>
          </c:val>
          <c:extLst>
            <c:ext xmlns:c16="http://schemas.microsoft.com/office/drawing/2014/chart" uri="{C3380CC4-5D6E-409C-BE32-E72D297353CC}">
              <c16:uniqueId val="{00000005-972D-4A98-BCB5-F24653C54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shape val="box"/>
        <c:axId val="1709417376"/>
        <c:axId val="1709418208"/>
        <c:axId val="0"/>
      </c:bar3DChart>
      <c:catAx>
        <c:axId val="17094173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09418208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70941820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000" b="0" i="0" u="none" strike="noStrike" baseline="0"/>
                  <a:t>バッテリー健康度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094173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[laptop_battery_health_usage.xlsx]PivotChartTable4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b="1"/>
              <a:t>Battery Health Vs Charge Cycle</a:t>
            </a:r>
            <a:endParaRPr lang="ja-JP" alt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laptop_battery_health_usage!$I$1</c:f>
              <c:strCache>
                <c:ptCount val="1"/>
                <c:pt idx="0">
                  <c:v>バッテリー健康度（%）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laptop_battery_health_usage!$G$2:$G$51</c:f>
              <c:numCache>
                <c:formatCode>General</c:formatCode>
                <c:ptCount val="50"/>
                <c:pt idx="0">
                  <c:v>420</c:v>
                </c:pt>
                <c:pt idx="1">
                  <c:v>610</c:v>
                </c:pt>
                <c:pt idx="2">
                  <c:v>310</c:v>
                </c:pt>
                <c:pt idx="3">
                  <c:v>700</c:v>
                </c:pt>
                <c:pt idx="4">
                  <c:v>820</c:v>
                </c:pt>
                <c:pt idx="5">
                  <c:v>540</c:v>
                </c:pt>
                <c:pt idx="6">
                  <c:v>210</c:v>
                </c:pt>
                <c:pt idx="7">
                  <c:v>880</c:v>
                </c:pt>
                <c:pt idx="8">
                  <c:v>350</c:v>
                </c:pt>
                <c:pt idx="9">
                  <c:v>480</c:v>
                </c:pt>
                <c:pt idx="10">
                  <c:v>900</c:v>
                </c:pt>
                <c:pt idx="11">
                  <c:v>620</c:v>
                </c:pt>
                <c:pt idx="12">
                  <c:v>400</c:v>
                </c:pt>
                <c:pt idx="13">
                  <c:v>300</c:v>
                </c:pt>
                <c:pt idx="14">
                  <c:v>850</c:v>
                </c:pt>
                <c:pt idx="15">
                  <c:v>220</c:v>
                </c:pt>
                <c:pt idx="16">
                  <c:v>450</c:v>
                </c:pt>
                <c:pt idx="17">
                  <c:v>560</c:v>
                </c:pt>
                <c:pt idx="18">
                  <c:v>680</c:v>
                </c:pt>
                <c:pt idx="19">
                  <c:v>310</c:v>
                </c:pt>
                <c:pt idx="20">
                  <c:v>490</c:v>
                </c:pt>
                <c:pt idx="21">
                  <c:v>600</c:v>
                </c:pt>
                <c:pt idx="22">
                  <c:v>520</c:v>
                </c:pt>
                <c:pt idx="23">
                  <c:v>900</c:v>
                </c:pt>
                <c:pt idx="24">
                  <c:v>180</c:v>
                </c:pt>
                <c:pt idx="25">
                  <c:v>570</c:v>
                </c:pt>
                <c:pt idx="26">
                  <c:v>730</c:v>
                </c:pt>
                <c:pt idx="27">
                  <c:v>460</c:v>
                </c:pt>
                <c:pt idx="28">
                  <c:v>950</c:v>
                </c:pt>
                <c:pt idx="29">
                  <c:v>320</c:v>
                </c:pt>
                <c:pt idx="30">
                  <c:v>500</c:v>
                </c:pt>
                <c:pt idx="31">
                  <c:v>430</c:v>
                </c:pt>
                <c:pt idx="32">
                  <c:v>210</c:v>
                </c:pt>
                <c:pt idx="33">
                  <c:v>680</c:v>
                </c:pt>
                <c:pt idx="34">
                  <c:v>780</c:v>
                </c:pt>
                <c:pt idx="35">
                  <c:v>410</c:v>
                </c:pt>
                <c:pt idx="36">
                  <c:v>260</c:v>
                </c:pt>
                <c:pt idx="37">
                  <c:v>870</c:v>
                </c:pt>
                <c:pt idx="38">
                  <c:v>450</c:v>
                </c:pt>
                <c:pt idx="39">
                  <c:v>330</c:v>
                </c:pt>
                <c:pt idx="40">
                  <c:v>640</c:v>
                </c:pt>
                <c:pt idx="41">
                  <c:v>190</c:v>
                </c:pt>
                <c:pt idx="42">
                  <c:v>760</c:v>
                </c:pt>
                <c:pt idx="43">
                  <c:v>560</c:v>
                </c:pt>
                <c:pt idx="44">
                  <c:v>340</c:v>
                </c:pt>
                <c:pt idx="45">
                  <c:v>820</c:v>
                </c:pt>
                <c:pt idx="46">
                  <c:v>470</c:v>
                </c:pt>
                <c:pt idx="47">
                  <c:v>710</c:v>
                </c:pt>
                <c:pt idx="48">
                  <c:v>380</c:v>
                </c:pt>
                <c:pt idx="49">
                  <c:v>200</c:v>
                </c:pt>
              </c:numCache>
            </c:numRef>
          </c:xVal>
          <c:yVal>
            <c:numRef>
              <c:f>laptop_battery_health_usage!$I$2:$I$51</c:f>
              <c:numCache>
                <c:formatCode>General</c:formatCode>
                <c:ptCount val="50"/>
                <c:pt idx="0">
                  <c:v>86</c:v>
                </c:pt>
                <c:pt idx="1">
                  <c:v>78</c:v>
                </c:pt>
                <c:pt idx="2">
                  <c:v>92</c:v>
                </c:pt>
                <c:pt idx="3">
                  <c:v>70</c:v>
                </c:pt>
                <c:pt idx="4">
                  <c:v>65</c:v>
                </c:pt>
                <c:pt idx="5">
                  <c:v>80</c:v>
                </c:pt>
                <c:pt idx="6">
                  <c:v>95</c:v>
                </c:pt>
                <c:pt idx="7">
                  <c:v>60</c:v>
                </c:pt>
                <c:pt idx="8">
                  <c:v>88</c:v>
                </c:pt>
                <c:pt idx="9">
                  <c:v>83</c:v>
                </c:pt>
                <c:pt idx="10">
                  <c:v>58</c:v>
                </c:pt>
                <c:pt idx="11">
                  <c:v>75</c:v>
                </c:pt>
                <c:pt idx="12">
                  <c:v>90</c:v>
                </c:pt>
                <c:pt idx="13">
                  <c:v>91</c:v>
                </c:pt>
                <c:pt idx="14">
                  <c:v>62</c:v>
                </c:pt>
                <c:pt idx="15">
                  <c:v>94</c:v>
                </c:pt>
                <c:pt idx="16">
                  <c:v>85</c:v>
                </c:pt>
                <c:pt idx="17">
                  <c:v>79</c:v>
                </c:pt>
                <c:pt idx="18">
                  <c:v>82</c:v>
                </c:pt>
                <c:pt idx="19">
                  <c:v>89</c:v>
                </c:pt>
                <c:pt idx="20">
                  <c:v>81</c:v>
                </c:pt>
                <c:pt idx="21">
                  <c:v>76</c:v>
                </c:pt>
                <c:pt idx="22">
                  <c:v>74</c:v>
                </c:pt>
                <c:pt idx="23">
                  <c:v>59</c:v>
                </c:pt>
                <c:pt idx="24">
                  <c:v>97</c:v>
                </c:pt>
                <c:pt idx="25">
                  <c:v>77</c:v>
                </c:pt>
                <c:pt idx="26">
                  <c:v>68</c:v>
                </c:pt>
                <c:pt idx="27">
                  <c:v>84</c:v>
                </c:pt>
                <c:pt idx="28">
                  <c:v>55</c:v>
                </c:pt>
                <c:pt idx="29">
                  <c:v>90</c:v>
                </c:pt>
                <c:pt idx="30">
                  <c:v>87</c:v>
                </c:pt>
                <c:pt idx="31">
                  <c:v>86</c:v>
                </c:pt>
                <c:pt idx="32">
                  <c:v>96</c:v>
                </c:pt>
                <c:pt idx="33">
                  <c:v>72</c:v>
                </c:pt>
                <c:pt idx="34">
                  <c:v>66</c:v>
                </c:pt>
                <c:pt idx="35">
                  <c:v>85</c:v>
                </c:pt>
                <c:pt idx="36">
                  <c:v>93</c:v>
                </c:pt>
                <c:pt idx="37">
                  <c:v>61</c:v>
                </c:pt>
                <c:pt idx="38">
                  <c:v>84</c:v>
                </c:pt>
                <c:pt idx="39">
                  <c:v>91</c:v>
                </c:pt>
                <c:pt idx="40">
                  <c:v>74</c:v>
                </c:pt>
                <c:pt idx="41">
                  <c:v>97</c:v>
                </c:pt>
                <c:pt idx="42">
                  <c:v>78</c:v>
                </c:pt>
                <c:pt idx="43">
                  <c:v>79</c:v>
                </c:pt>
                <c:pt idx="44">
                  <c:v>90</c:v>
                </c:pt>
                <c:pt idx="45">
                  <c:v>63</c:v>
                </c:pt>
                <c:pt idx="46">
                  <c:v>84</c:v>
                </c:pt>
                <c:pt idx="47">
                  <c:v>69</c:v>
                </c:pt>
                <c:pt idx="48">
                  <c:v>92</c:v>
                </c:pt>
                <c:pt idx="49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F7-4388-9F10-FD05D8A3F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9584528"/>
        <c:axId val="2099572048"/>
      </c:scatterChart>
      <c:valAx>
        <c:axId val="209958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充電サイクル回数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99572048"/>
        <c:crosses val="autoZero"/>
        <c:crossBetween val="midCat"/>
      </c:valAx>
      <c:valAx>
        <c:axId val="209957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ja-JP" sz="1000" b="0" i="0" u="none" strike="noStrike" baseline="0">
                    <a:effectLst/>
                  </a:rPr>
                  <a:t>バッテリー健康度（</a:t>
                </a:r>
                <a:r>
                  <a:rPr lang="en-US" altLang="ja-JP" sz="1000" b="0" i="0" u="none" strike="noStrike" baseline="0">
                    <a:effectLst/>
                  </a:rPr>
                  <a:t>%</a:t>
                </a:r>
                <a:r>
                  <a:rPr lang="ja-JP" altLang="en-US" sz="1000" b="0" i="0" u="none" strike="noStrike" baseline="0">
                    <a:effectLst/>
                  </a:rPr>
                  <a:t>）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9958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_xlchart.v1.6</cx:f>
      </cx:numDim>
    </cx:data>
  </cx:chartData>
  <cx:chart>
    <cx:title pos="t" align="ctr" overlay="0">
      <cx:tx>
        <cx:txData>
          <cx:v>Battery Health Distribution by Brand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Battery Health Distribution by Brand</a:t>
          </a:r>
        </a:p>
      </cx:txPr>
    </cx:title>
    <cx:plotArea>
      <cx:plotAreaRegion>
        <cx:series layoutId="boxWhisker" uniqueId="{332EA5F0-1851-49AD-B3CB-7C3942F45B70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ja-JP" alt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ブランド</a:t>
                </a:r>
                <a:endParaRPr lang="en-US" altLang="ja-JP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valScaling max="10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ja-JP" alt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バッテリー健康度（</a:t>
                </a:r>
                <a:r>
                  <a:rPr lang="en-US" altLang="ja-JP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%</a:t>
                </a:r>
                <a:r>
                  <a:rPr lang="ja-JP" altLang="en-US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110004020202020204"/>
                  </a:rPr>
                  <a:t>）</a:t>
                </a:r>
                <a:endParaRPr lang="en-US" altLang="ja-JP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</xdr:colOff>
      <xdr:row>3</xdr:row>
      <xdr:rowOff>112395</xdr:rowOff>
    </xdr:from>
    <xdr:to>
      <xdr:col>8</xdr:col>
      <xdr:colOff>612457</xdr:colOff>
      <xdr:row>15</xdr:row>
      <xdr:rowOff>112395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3A0FE8-BF2F-4983-86B4-DBAB703954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12</xdr:col>
      <xdr:colOff>565785</xdr:colOff>
      <xdr:row>37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AA62C7-D6B4-4B3D-A24A-4F72AE474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249827</xdr:colOff>
      <xdr:row>19</xdr:row>
      <xdr:rowOff>168727</xdr:rowOff>
    </xdr:from>
    <xdr:to>
      <xdr:col>22</xdr:col>
      <xdr:colOff>604631</xdr:colOff>
      <xdr:row>32</xdr:row>
      <xdr:rowOff>157370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3733C6-3391-4EB3-845A-46370ABD45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884583</xdr:colOff>
      <xdr:row>52</xdr:row>
      <xdr:rowOff>175592</xdr:rowOff>
    </xdr:from>
    <xdr:to>
      <xdr:col>11</xdr:col>
      <xdr:colOff>407505</xdr:colOff>
      <xdr:row>60</xdr:row>
      <xdr:rowOff>381000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7C7534F-0457-477A-B15F-CCA4D7E566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5592" y="1223507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taw" refreshedDate="46027.914729282405" backgroundQuery="1" createdVersion="7" refreshedVersion="7" minRefreshableVersion="3" recordCount="0" supportSubquery="1" supportAdvancedDrill="1" xr:uid="{038C7035-046D-486F-9A62-8FCC2DCB4D03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4">
    <cacheField name="[Table3_2].[ブランド].[ブランド]" caption="ブランド" numFmtId="0" hierarchy="1" level="1">
      <sharedItems count="6">
        <s v="Acer"/>
        <s v="Apple"/>
        <s v="Asus"/>
        <s v="Dell"/>
        <s v="HP"/>
        <s v="Lenovo"/>
      </sharedItems>
    </cacheField>
    <cacheField name="[Measures].[Sum of バッテリー健康度（%）]" caption="Sum of バッテリー健康度（%）" numFmtId="0" hierarchy="14" level="32767"/>
    <cacheField name="[Table3_2].[過熱問題の有無].[過熱問題の有無]" caption="過熱問題の有無" numFmtId="0" hierarchy="10" level="1">
      <sharedItems count="1">
        <s v="Yes"/>
      </sharedItems>
    </cacheField>
    <cacheField name="[Table3_2].[os].[os]" caption="os" numFmtId="0" hierarchy="3" level="1">
      <sharedItems count="2">
        <s v="macOS"/>
        <s v="Windows"/>
      </sharedItems>
    </cacheField>
  </cacheFields>
  <cacheHierarchies count="17">
    <cacheHierarchy uniqueName="[Table3_2].[デバイスID]" caption="デバイスID" attribute="1" defaultMemberUniqueName="[Table3_2].[デバイスID].[All]" allUniqueName="[Table3_2].[デバイスID].[All]" dimensionUniqueName="[Table3_2]" displayFolder="" count="0" memberValueDatatype="130" unbalanced="0"/>
    <cacheHierarchy uniqueName="[Table3_2].[ブランド]" caption="ブランド" attribute="1" defaultMemberUniqueName="[Table3_2].[ブランド].[All]" allUniqueName="[Table3_2].[ブランド].[All]" dimensionUniqueName="[Table3_2]" displayFolder="" count="2" memberValueDatatype="130" unbalanced="0">
      <fieldsUsage count="2">
        <fieldUsage x="-1"/>
        <fieldUsage x="0"/>
      </fieldsUsage>
    </cacheHierarchy>
    <cacheHierarchy uniqueName="[Table3_2].[モデル年（発売年）]" caption="モデル年（発売年）" attribute="1" defaultMemberUniqueName="[Table3_2].[モデル年（発売年）].[All]" allUniqueName="[Table3_2].[モデル年（発売年）].[All]" dimensionUniqueName="[Table3_2]" displayFolder="" count="0" memberValueDatatype="20" unbalanced="0"/>
    <cacheHierarchy uniqueName="[Table3_2].[os]" caption="os" attribute="1" defaultMemberUniqueName="[Table3_2].[os].[All]" allUniqueName="[Table3_2].[os].[All]" dimensionUniqueName="[Table3_2]" displayFolder="" count="2" memberValueDatatype="130" unbalanced="0">
      <fieldsUsage count="2">
        <fieldUsage x="-1"/>
        <fieldUsage x="3"/>
      </fieldsUsage>
    </cacheHierarchy>
    <cacheHierarchy uniqueName="[Table3_2].[使用用途（利用タイプ）]" caption="使用用途（利用タイプ）" attribute="1" defaultMemberUniqueName="[Table3_2].[使用用途（利用タイプ）].[All]" allUniqueName="[Table3_2].[使用用途（利用タイプ）].[All]" dimensionUniqueName="[Table3_2]" displayFolder="" count="0" memberValueDatatype="130" unbalanced="0"/>
    <cacheHierarchy uniqueName="[Table3_2].[1日あたりの使用時間（時間）]" caption="1日あたりの使用時間（時間）" attribute="1" defaultMemberUniqueName="[Table3_2].[1日あたりの使用時間（時間）].[All]" allUniqueName="[Table3_2].[1日あたりの使用時間（時間）].[All]" dimensionUniqueName="[Table3_2]" displayFolder="" count="0" memberValueDatatype="20" unbalanced="0"/>
    <cacheHierarchy uniqueName="[Table3_2].[充電サイクル回数]" caption="充電サイクル回数" attribute="1" defaultMemberUniqueName="[Table3_2].[充電サイクル回数].[All]" allUniqueName="[Table3_2].[充電サイクル回数].[All]" dimensionUniqueName="[Table3_2]" displayFolder="" count="0" memberValueDatatype="20" unbalanced="0"/>
    <cacheHierarchy uniqueName="[Table3_2].[平均充電上限（%）]" caption="平均充電上限（%）" attribute="1" defaultMemberUniqueName="[Table3_2].[平均充電上限（%）].[All]" allUniqueName="[Table3_2].[平均充電上限（%）].[All]" dimensionUniqueName="[Table3_2]" displayFolder="" count="0" memberValueDatatype="20" unbalanced="0"/>
    <cacheHierarchy uniqueName="[Table3_2].[バッテリー健康度（%）]" caption="バッテリー健康度（%）" attribute="1" defaultMemberUniqueName="[Table3_2].[バッテリー健康度（%）].[All]" allUniqueName="[Table3_2].[バッテリー健康度（%）].[All]" dimensionUniqueName="[Table3_2]" displayFolder="" count="0" memberValueDatatype="20" unbalanced="0"/>
    <cacheHierarchy uniqueName="[Table3_2].[バッテリー経過月数（か月）]" caption="バッテリー経過月数（か月）" attribute="1" defaultMemberUniqueName="[Table3_2].[バッテリー経過月数（か月）].[All]" allUniqueName="[Table3_2].[バッテリー経過月数（か月）].[All]" dimensionUniqueName="[Table3_2]" displayFolder="" count="0" memberValueDatatype="20" unbalanced="0"/>
    <cacheHierarchy uniqueName="[Table3_2].[過熱問題の有無]" caption="過熱問題の有無" attribute="1" defaultMemberUniqueName="[Table3_2].[過熱問題の有無].[All]" allUniqueName="[Table3_2].[過熱問題の有無].[All]" dimensionUniqueName="[Table3_2]" displayFolder="" count="2" memberValueDatatype="130" unbalanced="0">
      <fieldsUsage count="2">
        <fieldUsage x="-1"/>
        <fieldUsage x="2"/>
      </fieldsUsage>
    </cacheHierarchy>
    <cacheHierarchy uniqueName="[Table3_2].[性能評価（レーティング）]" caption="性能評価（レーティング）" attribute="1" defaultMemberUniqueName="[Table3_2].[性能評価（レーティング）].[All]" allUniqueName="[Table3_2].[性能評価（レーティング）].[All]" dimensionUniqueName="[Table3_2]" displayFolder="" count="0" memberValueDatatype="20" unbalanced="0"/>
    <cacheHierarchy uniqueName="[Measures].[__XL_Count Table3_2]" caption="__XL_Count Table3_2" measure="1" displayFolder="" measureGroup="Table3_2" count="0" hidden="1"/>
    <cacheHierarchy uniqueName="[Measures].[__No measures defined]" caption="__No measures defined" measure="1" displayFolder="" count="0" hidden="1"/>
    <cacheHierarchy uniqueName="[Measures].[Sum of バッテリー健康度（%）]" caption="Sum of バッテリー健康度（%）" measure="1" displayFolder="" measureGroup="Table3_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充電サイクル回数]" caption="Sum of 充電サイクル回数" measure="1" displayFolder="" measureGroup="Table3_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ブランド]" caption="Count of ブランド" measure="1" displayFolder="" measureGroup="Table3_2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Table3_2" uniqueName="[Table3_2]" caption="Table3_2"/>
  </dimensions>
  <measureGroups count="1">
    <measureGroup name="Table3_2" caption="Table3_2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4384677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taw" refreshedDate="46027.914729282405" backgroundQuery="1" createdVersion="7" refreshedVersion="7" minRefreshableVersion="3" recordCount="0" supportSubquery="1" supportAdvancedDrill="1" xr:uid="{FF119B03-F8E5-4DCD-A88E-76C49DFF1C53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4">
    <cacheField name="[Table3_2].[ブランド].[ブランド]" caption="ブランド" numFmtId="0" hierarchy="1" level="1">
      <sharedItems count="6">
        <s v="Acer"/>
        <s v="Apple"/>
        <s v="Asus"/>
        <s v="Dell"/>
        <s v="HP"/>
        <s v="Lenovo"/>
      </sharedItems>
    </cacheField>
    <cacheField name="[Measures].[Sum of バッテリー健康度（%）]" caption="Sum of バッテリー健康度（%）" numFmtId="0" hierarchy="14" level="32767"/>
    <cacheField name="[Table3_2].[過熱問題の有無].[過熱問題の有無]" caption="過熱問題の有無" numFmtId="0" hierarchy="10" level="1">
      <sharedItems count="1">
        <s v="Yes"/>
      </sharedItems>
    </cacheField>
    <cacheField name="[Table3_2].[os].[os]" caption="os" numFmtId="0" hierarchy="3" level="1">
      <sharedItems count="2">
        <s v="macOS"/>
        <s v="Windows"/>
      </sharedItems>
    </cacheField>
  </cacheFields>
  <cacheHierarchies count="17">
    <cacheHierarchy uniqueName="[Table3_2].[デバイスID]" caption="デバイスID" attribute="1" defaultMemberUniqueName="[Table3_2].[デバイスID].[All]" allUniqueName="[Table3_2].[デバイスID].[All]" dimensionUniqueName="[Table3_2]" displayFolder="" count="0" memberValueDatatype="130" unbalanced="0"/>
    <cacheHierarchy uniqueName="[Table3_2].[ブランド]" caption="ブランド" attribute="1" defaultMemberUniqueName="[Table3_2].[ブランド].[All]" allUniqueName="[Table3_2].[ブランド].[All]" dimensionUniqueName="[Table3_2]" displayFolder="" count="2" memberValueDatatype="130" unbalanced="0">
      <fieldsUsage count="2">
        <fieldUsage x="-1"/>
        <fieldUsage x="0"/>
      </fieldsUsage>
    </cacheHierarchy>
    <cacheHierarchy uniqueName="[Table3_2].[モデル年（発売年）]" caption="モデル年（発売年）" attribute="1" defaultMemberUniqueName="[Table3_2].[モデル年（発売年）].[All]" allUniqueName="[Table3_2].[モデル年（発売年）].[All]" dimensionUniqueName="[Table3_2]" displayFolder="" count="0" memberValueDatatype="20" unbalanced="0"/>
    <cacheHierarchy uniqueName="[Table3_2].[os]" caption="os" attribute="1" defaultMemberUniqueName="[Table3_2].[os].[All]" allUniqueName="[Table3_2].[os].[All]" dimensionUniqueName="[Table3_2]" displayFolder="" count="2" memberValueDatatype="130" unbalanced="0">
      <fieldsUsage count="2">
        <fieldUsage x="-1"/>
        <fieldUsage x="3"/>
      </fieldsUsage>
    </cacheHierarchy>
    <cacheHierarchy uniqueName="[Table3_2].[使用用途（利用タイプ）]" caption="使用用途（利用タイプ）" attribute="1" defaultMemberUniqueName="[Table3_2].[使用用途（利用タイプ）].[All]" allUniqueName="[Table3_2].[使用用途（利用タイプ）].[All]" dimensionUniqueName="[Table3_2]" displayFolder="" count="0" memberValueDatatype="130" unbalanced="0"/>
    <cacheHierarchy uniqueName="[Table3_2].[1日あたりの使用時間（時間）]" caption="1日あたりの使用時間（時間）" attribute="1" defaultMemberUniqueName="[Table3_2].[1日あたりの使用時間（時間）].[All]" allUniqueName="[Table3_2].[1日あたりの使用時間（時間）].[All]" dimensionUniqueName="[Table3_2]" displayFolder="" count="0" memberValueDatatype="20" unbalanced="0"/>
    <cacheHierarchy uniqueName="[Table3_2].[充電サイクル回数]" caption="充電サイクル回数" attribute="1" defaultMemberUniqueName="[Table3_2].[充電サイクル回数].[All]" allUniqueName="[Table3_2].[充電サイクル回数].[All]" dimensionUniqueName="[Table3_2]" displayFolder="" count="0" memberValueDatatype="20" unbalanced="0"/>
    <cacheHierarchy uniqueName="[Table3_2].[平均充電上限（%）]" caption="平均充電上限（%）" attribute="1" defaultMemberUniqueName="[Table3_2].[平均充電上限（%）].[All]" allUniqueName="[Table3_2].[平均充電上限（%）].[All]" dimensionUniqueName="[Table3_2]" displayFolder="" count="0" memberValueDatatype="20" unbalanced="0"/>
    <cacheHierarchy uniqueName="[Table3_2].[バッテリー健康度（%）]" caption="バッテリー健康度（%）" attribute="1" defaultMemberUniqueName="[Table3_2].[バッテリー健康度（%）].[All]" allUniqueName="[Table3_2].[バッテリー健康度（%）].[All]" dimensionUniqueName="[Table3_2]" displayFolder="" count="0" memberValueDatatype="20" unbalanced="0"/>
    <cacheHierarchy uniqueName="[Table3_2].[バッテリー経過月数（か月）]" caption="バッテリー経過月数（か月）" attribute="1" defaultMemberUniqueName="[Table3_2].[バッテリー経過月数（か月）].[All]" allUniqueName="[Table3_2].[バッテリー経過月数（か月）].[All]" dimensionUniqueName="[Table3_2]" displayFolder="" count="0" memberValueDatatype="20" unbalanced="0"/>
    <cacheHierarchy uniqueName="[Table3_2].[過熱問題の有無]" caption="過熱問題の有無" attribute="1" defaultMemberUniqueName="[Table3_2].[過熱問題の有無].[All]" allUniqueName="[Table3_2].[過熱問題の有無].[All]" dimensionUniqueName="[Table3_2]" displayFolder="" count="2" memberValueDatatype="130" unbalanced="0">
      <fieldsUsage count="2">
        <fieldUsage x="-1"/>
        <fieldUsage x="2"/>
      </fieldsUsage>
    </cacheHierarchy>
    <cacheHierarchy uniqueName="[Table3_2].[性能評価（レーティング）]" caption="性能評価（レーティング）" attribute="1" defaultMemberUniqueName="[Table3_2].[性能評価（レーティング）].[All]" allUniqueName="[Table3_2].[性能評価（レーティング）].[All]" dimensionUniqueName="[Table3_2]" displayFolder="" count="0" memberValueDatatype="20" unbalanced="0"/>
    <cacheHierarchy uniqueName="[Measures].[__XL_Count Table3_2]" caption="__XL_Count Table3_2" measure="1" displayFolder="" measureGroup="Table3_2" count="0" hidden="1"/>
    <cacheHierarchy uniqueName="[Measures].[__No measures defined]" caption="__No measures defined" measure="1" displayFolder="" count="0" hidden="1"/>
    <cacheHierarchy uniqueName="[Measures].[Sum of バッテリー健康度（%）]" caption="Sum of バッテリー健康度（%）" measure="1" displayFolder="" measureGroup="Table3_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充電サイクル回数]" caption="Sum of 充電サイクル回数" measure="1" displayFolder="" measureGroup="Table3_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ブランド]" caption="Count of ブランド" measure="1" displayFolder="" measureGroup="Table3_2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Table3_2" uniqueName="[Table3_2]" caption="Table3_2"/>
  </dimensions>
  <measureGroups count="1">
    <measureGroup name="Table3_2" caption="Table3_2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8276385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taw" refreshedDate="46027.914729282405" backgroundQuery="1" createdVersion="7" refreshedVersion="7" minRefreshableVersion="3" recordCount="0" supportSubquery="1" supportAdvancedDrill="1" xr:uid="{D4D5C6EE-7163-4D17-8AF5-C66356E999CA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4">
    <cacheField name="[Table3_2].[ブランド].[ブランド]" caption="ブランド" numFmtId="0" hierarchy="1" level="1">
      <sharedItems count="6">
        <s v="Acer"/>
        <s v="Apple"/>
        <s v="Asus"/>
        <s v="Dell"/>
        <s v="HP"/>
        <s v="Lenovo"/>
      </sharedItems>
    </cacheField>
    <cacheField name="[Measures].[Sum of バッテリー健康度（%）]" caption="Sum of バッテリー健康度（%）" numFmtId="0" hierarchy="14" level="32767"/>
    <cacheField name="[Table3_2].[過熱問題の有無].[過熱問題の有無]" caption="過熱問題の有無" numFmtId="0" hierarchy="10" level="1">
      <sharedItems count="1">
        <s v="Yes"/>
      </sharedItems>
    </cacheField>
    <cacheField name="[Table3_2].[os].[os]" caption="os" numFmtId="0" hierarchy="3" level="1">
      <sharedItems count="2">
        <s v="macOS"/>
        <s v="Windows"/>
      </sharedItems>
    </cacheField>
  </cacheFields>
  <cacheHierarchies count="17">
    <cacheHierarchy uniqueName="[Table3_2].[デバイスID]" caption="デバイスID" attribute="1" defaultMemberUniqueName="[Table3_2].[デバイスID].[All]" allUniqueName="[Table3_2].[デバイスID].[All]" dimensionUniqueName="[Table3_2]" displayFolder="" count="0" memberValueDatatype="130" unbalanced="0"/>
    <cacheHierarchy uniqueName="[Table3_2].[ブランド]" caption="ブランド" attribute="1" defaultMemberUniqueName="[Table3_2].[ブランド].[All]" allUniqueName="[Table3_2].[ブランド].[All]" dimensionUniqueName="[Table3_2]" displayFolder="" count="2" memberValueDatatype="130" unbalanced="0">
      <fieldsUsage count="2">
        <fieldUsage x="-1"/>
        <fieldUsage x="0"/>
      </fieldsUsage>
    </cacheHierarchy>
    <cacheHierarchy uniqueName="[Table3_2].[モデル年（発売年）]" caption="モデル年（発売年）" attribute="1" defaultMemberUniqueName="[Table3_2].[モデル年（発売年）].[All]" allUniqueName="[Table3_2].[モデル年（発売年）].[All]" dimensionUniqueName="[Table3_2]" displayFolder="" count="0" memberValueDatatype="20" unbalanced="0"/>
    <cacheHierarchy uniqueName="[Table3_2].[os]" caption="os" attribute="1" defaultMemberUniqueName="[Table3_2].[os].[All]" allUniqueName="[Table3_2].[os].[All]" dimensionUniqueName="[Table3_2]" displayFolder="" count="2" memberValueDatatype="130" unbalanced="0">
      <fieldsUsage count="2">
        <fieldUsage x="-1"/>
        <fieldUsage x="3"/>
      </fieldsUsage>
    </cacheHierarchy>
    <cacheHierarchy uniqueName="[Table3_2].[使用用途（利用タイプ）]" caption="使用用途（利用タイプ）" attribute="1" defaultMemberUniqueName="[Table3_2].[使用用途（利用タイプ）].[All]" allUniqueName="[Table3_2].[使用用途（利用タイプ）].[All]" dimensionUniqueName="[Table3_2]" displayFolder="" count="0" memberValueDatatype="130" unbalanced="0"/>
    <cacheHierarchy uniqueName="[Table3_2].[1日あたりの使用時間（時間）]" caption="1日あたりの使用時間（時間）" attribute="1" defaultMemberUniqueName="[Table3_2].[1日あたりの使用時間（時間）].[All]" allUniqueName="[Table3_2].[1日あたりの使用時間（時間）].[All]" dimensionUniqueName="[Table3_2]" displayFolder="" count="0" memberValueDatatype="20" unbalanced="0"/>
    <cacheHierarchy uniqueName="[Table3_2].[充電サイクル回数]" caption="充電サイクル回数" attribute="1" defaultMemberUniqueName="[Table3_2].[充電サイクル回数].[All]" allUniqueName="[Table3_2].[充電サイクル回数].[All]" dimensionUniqueName="[Table3_2]" displayFolder="" count="0" memberValueDatatype="20" unbalanced="0"/>
    <cacheHierarchy uniqueName="[Table3_2].[平均充電上限（%）]" caption="平均充電上限（%）" attribute="1" defaultMemberUniqueName="[Table3_2].[平均充電上限（%）].[All]" allUniqueName="[Table3_2].[平均充電上限（%）].[All]" dimensionUniqueName="[Table3_2]" displayFolder="" count="0" memberValueDatatype="20" unbalanced="0"/>
    <cacheHierarchy uniqueName="[Table3_2].[バッテリー健康度（%）]" caption="バッテリー健康度（%）" attribute="1" defaultMemberUniqueName="[Table3_2].[バッテリー健康度（%）].[All]" allUniqueName="[Table3_2].[バッテリー健康度（%）].[All]" dimensionUniqueName="[Table3_2]" displayFolder="" count="0" memberValueDatatype="20" unbalanced="0"/>
    <cacheHierarchy uniqueName="[Table3_2].[バッテリー経過月数（か月）]" caption="バッテリー経過月数（か月）" attribute="1" defaultMemberUniqueName="[Table3_2].[バッテリー経過月数（か月）].[All]" allUniqueName="[Table3_2].[バッテリー経過月数（か月）].[All]" dimensionUniqueName="[Table3_2]" displayFolder="" count="0" memberValueDatatype="20" unbalanced="0"/>
    <cacheHierarchy uniqueName="[Table3_2].[過熱問題の有無]" caption="過熱問題の有無" attribute="1" defaultMemberUniqueName="[Table3_2].[過熱問題の有無].[All]" allUniqueName="[Table3_2].[過熱問題の有無].[All]" dimensionUniqueName="[Table3_2]" displayFolder="" count="2" memberValueDatatype="130" unbalanced="0">
      <fieldsUsage count="2">
        <fieldUsage x="-1"/>
        <fieldUsage x="2"/>
      </fieldsUsage>
    </cacheHierarchy>
    <cacheHierarchy uniqueName="[Table3_2].[性能評価（レーティング）]" caption="性能評価（レーティング）" attribute="1" defaultMemberUniqueName="[Table3_2].[性能評価（レーティング）].[All]" allUniqueName="[Table3_2].[性能評価（レーティング）].[All]" dimensionUniqueName="[Table3_2]" displayFolder="" count="0" memberValueDatatype="20" unbalanced="0"/>
    <cacheHierarchy uniqueName="[Measures].[__XL_Count Table3_2]" caption="__XL_Count Table3_2" measure="1" displayFolder="" measureGroup="Table3_2" count="0" hidden="1"/>
    <cacheHierarchy uniqueName="[Measures].[__No measures defined]" caption="__No measures defined" measure="1" displayFolder="" count="0" hidden="1"/>
    <cacheHierarchy uniqueName="[Measures].[Sum of バッテリー健康度（%）]" caption="Sum of バッテリー健康度（%）" measure="1" displayFolder="" measureGroup="Table3_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充電サイクル回数]" caption="Sum of 充電サイクル回数" measure="1" displayFolder="" measureGroup="Table3_2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ブランド]" caption="Count of ブランド" measure="1" displayFolder="" measureGroup="Table3_2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Table3_2" uniqueName="[Table3_2]" caption="Table3_2"/>
  </dimensions>
  <measureGroups count="1">
    <measureGroup name="Table3_2" caption="Table3_2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90970458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taw" refreshedDate="46027.932118055556" backgroundQuery="1" createdVersion="7" refreshedVersion="7" minRefreshableVersion="3" recordCount="0" supportSubquery="1" supportAdvancedDrill="1" xr:uid="{ACC7373F-3624-4A80-83DB-532EDAE847BD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4">
    <cacheField name="[Table3_2].[過熱問題の有無].[過熱問題の有無]" caption="過熱問題の有無" numFmtId="0" hierarchy="10" level="1">
      <sharedItems count="1">
        <s v="Yes"/>
      </sharedItems>
    </cacheField>
    <cacheField name="[Table3_2].[使用用途（利用タイプ）].[使用用途（利用タイプ）]" caption="使用用途（利用タイプ）" numFmtId="0" hierarchy="4" level="1">
      <sharedItems count="5">
        <s v="Creative"/>
        <s v="Gaming"/>
        <s v="Office"/>
        <s v="Programming"/>
        <s v="Student"/>
      </sharedItems>
    </cacheField>
    <cacheField name="[Table3_2].[平均充電上限（%）].[平均充電上限（%）]" caption="平均充電上限（%）" numFmtId="0" hierarchy="7" level="1">
      <sharedItems containsSemiMixedTypes="0" containsString="0" containsNumber="1" containsInteger="1" minValue="80" maxValue="100" count="5">
        <n v="80"/>
        <n v="85"/>
        <n v="90"/>
        <n v="95"/>
        <n v="100"/>
      </sharedItems>
      <extLst>
        <ext xmlns:x15="http://schemas.microsoft.com/office/spreadsheetml/2010/11/main" uri="{4F2E5C28-24EA-4eb8-9CBF-B6C8F9C3D259}">
          <x15:cachedUniqueNames>
            <x15:cachedUniqueName index="0" name="[Table3_2].[平均充電上限（%）].&amp;[80]"/>
            <x15:cachedUniqueName index="1" name="[Table3_2].[平均充電上限（%）].&amp;[85]"/>
            <x15:cachedUniqueName index="2" name="[Table3_2].[平均充電上限（%）].&amp;[90]"/>
            <x15:cachedUniqueName index="3" name="[Table3_2].[平均充電上限（%）].&amp;[95]"/>
            <x15:cachedUniqueName index="4" name="[Table3_2].[平均充電上限（%）].&amp;[100]"/>
          </x15:cachedUniqueNames>
        </ext>
      </extLst>
    </cacheField>
    <cacheField name="[Measures].[Sum of 充電サイクル回数]" caption="Sum of 充電サイクル回数" numFmtId="0" hierarchy="15" level="32767"/>
  </cacheFields>
  <cacheHierarchies count="17">
    <cacheHierarchy uniqueName="[Table3_2].[デバイスID]" caption="デバイスID" attribute="1" defaultMemberUniqueName="[Table3_2].[デバイスID].[All]" allUniqueName="[Table3_2].[デバイスID].[All]" dimensionUniqueName="[Table3_2]" displayFolder="" count="0" memberValueDatatype="130" unbalanced="0"/>
    <cacheHierarchy uniqueName="[Table3_2].[ブランド]" caption="ブランド" attribute="1" defaultMemberUniqueName="[Table3_2].[ブランド].[All]" allUniqueName="[Table3_2].[ブランド].[All]" dimensionUniqueName="[Table3_2]" displayFolder="" count="2" memberValueDatatype="130" unbalanced="0"/>
    <cacheHierarchy uniqueName="[Table3_2].[モデル年（発売年）]" caption="モデル年（発売年）" attribute="1" defaultMemberUniqueName="[Table3_2].[モデル年（発売年）].[All]" allUniqueName="[Table3_2].[モデル年（発売年）].[All]" dimensionUniqueName="[Table3_2]" displayFolder="" count="0" memberValueDatatype="20" unbalanced="0"/>
    <cacheHierarchy uniqueName="[Table3_2].[os]" caption="os" attribute="1" defaultMemberUniqueName="[Table3_2].[os].[All]" allUniqueName="[Table3_2].[os].[All]" dimensionUniqueName="[Table3_2]" displayFolder="" count="2" memberValueDatatype="130" unbalanced="0"/>
    <cacheHierarchy uniqueName="[Table3_2].[使用用途（利用タイプ）]" caption="使用用途（利用タイプ）" attribute="1" defaultMemberUniqueName="[Table3_2].[使用用途（利用タイプ）].[All]" allUniqueName="[Table3_2].[使用用途（利用タイプ）].[All]" dimensionUniqueName="[Table3_2]" displayFolder="" count="2" memberValueDatatype="130" unbalanced="0">
      <fieldsUsage count="2">
        <fieldUsage x="-1"/>
        <fieldUsage x="1"/>
      </fieldsUsage>
    </cacheHierarchy>
    <cacheHierarchy uniqueName="[Table3_2].[1日あたりの使用時間（時間）]" caption="1日あたりの使用時間（時間）" attribute="1" defaultMemberUniqueName="[Table3_2].[1日あたりの使用時間（時間）].[All]" allUniqueName="[Table3_2].[1日あたりの使用時間（時間）].[All]" dimensionUniqueName="[Table3_2]" displayFolder="" count="0" memberValueDatatype="20" unbalanced="0"/>
    <cacheHierarchy uniqueName="[Table3_2].[充電サイクル回数]" caption="充電サイクル回数" attribute="1" defaultMemberUniqueName="[Table3_2].[充電サイクル回数].[All]" allUniqueName="[Table3_2].[充電サイクル回数].[All]" dimensionUniqueName="[Table3_2]" displayFolder="" count="0" memberValueDatatype="20" unbalanced="0"/>
    <cacheHierarchy uniqueName="[Table3_2].[平均充電上限（%）]" caption="平均充電上限（%）" attribute="1" defaultMemberUniqueName="[Table3_2].[平均充電上限（%）].[All]" allUniqueName="[Table3_2].[平均充電上限（%）].[All]" dimensionUniqueName="[Table3_2]" displayFolder="" count="2" memberValueDatatype="20" unbalanced="0">
      <fieldsUsage count="2">
        <fieldUsage x="-1"/>
        <fieldUsage x="2"/>
      </fieldsUsage>
    </cacheHierarchy>
    <cacheHierarchy uniqueName="[Table3_2].[バッテリー健康度（%）]" caption="バッテリー健康度（%）" attribute="1" defaultMemberUniqueName="[Table3_2].[バッテリー健康度（%）].[All]" allUniqueName="[Table3_2].[バッテリー健康度（%）].[All]" dimensionUniqueName="[Table3_2]" displayFolder="" count="0" memberValueDatatype="20" unbalanced="0"/>
    <cacheHierarchy uniqueName="[Table3_2].[バッテリー経過月数（か月）]" caption="バッテリー経過月数（か月）" attribute="1" defaultMemberUniqueName="[Table3_2].[バッテリー経過月数（か月）].[All]" allUniqueName="[Table3_2].[バッテリー経過月数（か月）].[All]" dimensionUniqueName="[Table3_2]" displayFolder="" count="0" memberValueDatatype="20" unbalanced="0"/>
    <cacheHierarchy uniqueName="[Table3_2].[過熱問題の有無]" caption="過熱問題の有無" attribute="1" defaultMemberUniqueName="[Table3_2].[過熱問題の有無].[All]" allUniqueName="[Table3_2].[過熱問題の有無].[All]" dimensionUniqueName="[Table3_2]" displayFolder="" count="2" memberValueDatatype="130" unbalanced="0">
      <fieldsUsage count="2">
        <fieldUsage x="-1"/>
        <fieldUsage x="0"/>
      </fieldsUsage>
    </cacheHierarchy>
    <cacheHierarchy uniqueName="[Table3_2].[性能評価（レーティング）]" caption="性能評価（レーティング）" attribute="1" defaultMemberUniqueName="[Table3_2].[性能評価（レーティング）].[All]" allUniqueName="[Table3_2].[性能評価（レーティング）].[All]" dimensionUniqueName="[Table3_2]" displayFolder="" count="0" memberValueDatatype="20" unbalanced="0"/>
    <cacheHierarchy uniqueName="[Measures].[__XL_Count Table3_2]" caption="__XL_Count Table3_2" measure="1" displayFolder="" measureGroup="Table3_2" count="0" hidden="1"/>
    <cacheHierarchy uniqueName="[Measures].[__No measures defined]" caption="__No measures defined" measure="1" displayFolder="" count="0" hidden="1"/>
    <cacheHierarchy uniqueName="[Measures].[Sum of バッテリー健康度（%）]" caption="Sum of バッテリー健康度（%）" measure="1" displayFolder="" measureGroup="Table3_2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充電サイクル回数]" caption="Sum of 充電サイクル回数" measure="1" displayFolder="" measureGroup="Table3_2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ブランド]" caption="Count of ブランド" measure="1" displayFolder="" measureGroup="Table3_2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measure="1" name="Measures" uniqueName="[Measures]" caption="Measures"/>
    <dimension name="Table3_2" uniqueName="[Table3_2]" caption="Table3_2"/>
  </dimensions>
  <measureGroups count="1">
    <measureGroup name="Table3_2" caption="Table3_2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70363400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898A62-A20D-40A6-B3AF-65D4347C3576}" name="PivotChartTable4" cacheId="164" applyNumberFormats="0" applyBorderFormats="0" applyFontFormats="0" applyPatternFormats="0" applyAlignmentFormats="0" applyWidthHeightFormats="1" dataCaption="Values" updatedVersion="7" minRefreshableVersion="3" useAutoFormatting="1" subtotalHiddenItems="1" itemPrintTitles="1" createdVersion="7" indent="0" outline="1" outlineData="1" multipleFieldFilters="0" chartFormat="11">
  <location ref="A1:H5" firstHeaderRow="1" firstDataRow="2" firstDataCol="1"/>
  <pivotFields count="4"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バッテリー健康度（%）" fld="1" baseField="0" baseItem="0"/>
  </dataFields>
  <chartFormats count="19">
    <chartFormat chart="0" format="3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3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9" format="3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9" format="3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9" format="3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9" format="3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9" format="3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9" format="3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0" format="3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" format="3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" format="3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0" format="3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0" format="3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0" format="3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rowHierarchiesUsage count="1">
    <rowHierarchyUsage hierarchyUsage="3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3" columnCount="7" cacheId="1909704581">
        <x15:pivotRow count="7">
          <x15:c t="e">
            <x15:v/>
          </x15:c>
          <x15:c>
            <x15:v>806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806</x15:v>
          </x15:c>
        </x15:pivotRow>
        <x15:pivotRow count="7">
          <x15:c>
            <x15:v>634</x15:v>
          </x15:c>
          <x15:c t="e">
            <x15:v/>
          </x15:c>
          <x15:c>
            <x15:v>561</x15:v>
          </x15:c>
          <x15:c>
            <x15:v>647</x15:v>
          </x15:c>
          <x15:c>
            <x15:v>727</x15:v>
          </x15:c>
          <x15:c>
            <x15:v>633</x15:v>
          </x15:c>
          <x15:c>
            <x15:v>3202</x15:v>
          </x15:c>
        </x15:pivotRow>
        <x15:pivotRow count="7">
          <x15:c>
            <x15:v>634</x15:v>
          </x15:c>
          <x15:c>
            <x15:v>806</x15:v>
          </x15:c>
          <x15:c>
            <x15:v>561</x15:v>
          </x15:c>
          <x15:c>
            <x15:v>647</x15:v>
          </x15:c>
          <x15:c>
            <x15:v>727</x15:v>
          </x15:c>
          <x15:c>
            <x15:v>633</x15:v>
          </x15:c>
          <x15:c>
            <x15:v>4008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laptop_battery_health_usage.xlsx!Table3_2">
        <x15:activeTabTopLevelEntity name="[Table3_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898A62-A20D-40A6-B3AF-65D4347C3576}" name="PivotChartTable3" cacheId="162" applyNumberFormats="0" applyBorderFormats="0" applyFontFormats="0" applyPatternFormats="0" applyAlignmentFormats="0" applyWidthHeightFormats="1" dataCaption="Values" updatedVersion="7" minRefreshableVersion="3" useAutoFormatting="1" subtotalHiddenItems="1" itemPrintTitles="1" createdVersion="7" indent="0" outline="1" outlineData="1" multipleFieldFilters="0" chartFormat="9">
  <location ref="A1:H5" firstHeaderRow="1" firstDataRow="2" firstDataCol="1"/>
  <pivotFields count="4"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バッテリー健康度（%）" fld="1" baseField="0" baseItem="0"/>
  </dataFields>
  <chartFormats count="7">
    <chartFormat chart="0" format="3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3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rowHierarchiesUsage count="1">
    <rowHierarchyUsage hierarchyUsage="3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3" columnCount="7" cacheId="1682763853">
        <x15:pivotRow count="7">
          <x15:c t="e">
            <x15:v/>
          </x15:c>
          <x15:c>
            <x15:v>806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806</x15:v>
          </x15:c>
        </x15:pivotRow>
        <x15:pivotRow count="7">
          <x15:c>
            <x15:v>634</x15:v>
          </x15:c>
          <x15:c t="e">
            <x15:v/>
          </x15:c>
          <x15:c>
            <x15:v>561</x15:v>
          </x15:c>
          <x15:c>
            <x15:v>647</x15:v>
          </x15:c>
          <x15:c>
            <x15:v>727</x15:v>
          </x15:c>
          <x15:c>
            <x15:v>633</x15:v>
          </x15:c>
          <x15:c>
            <x15:v>3202</x15:v>
          </x15:c>
        </x15:pivotRow>
        <x15:pivotRow count="7">
          <x15:c>
            <x15:v>634</x15:v>
          </x15:c>
          <x15:c>
            <x15:v>806</x15:v>
          </x15:c>
          <x15:c>
            <x15:v>561</x15:v>
          </x15:c>
          <x15:c>
            <x15:v>647</x15:v>
          </x15:c>
          <x15:c>
            <x15:v>727</x15:v>
          </x15:c>
          <x15:c>
            <x15:v>633</x15:v>
          </x15:c>
          <x15:c>
            <x15:v>4008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laptop_battery_health_usage.xlsx!Table3_2">
        <x15:activeTabTopLevelEntity name="[Table3_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898A62-A20D-40A6-B3AF-65D4347C3576}" name="PivotChartTable2" cacheId="161" applyNumberFormats="0" applyBorderFormats="0" applyFontFormats="0" applyPatternFormats="0" applyAlignmentFormats="0" applyWidthHeightFormats="1" dataCaption="Values" updatedVersion="7" minRefreshableVersion="3" useAutoFormatting="1" subtotalHiddenItems="1" itemPrintTitles="1" createdVersion="7" indent="0" outline="1" outlineData="1" multipleFieldFilters="0" chartFormat="5">
  <location ref="A1:H5" firstHeaderRow="1" firstDataRow="2" firstDataCol="1"/>
  <pivotFields count="4"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バッテリー健康度（%）" fld="1" baseField="0" baseItem="0"/>
  </dataFields>
  <chartFormats count="13">
    <chartFormat chart="0" format="3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3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3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3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3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3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3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rowHierarchiesUsage count="1">
    <rowHierarchyUsage hierarchyUsage="3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3" columnCount="7" cacheId="1438467722">
        <x15:pivotRow count="7">
          <x15:c t="e">
            <x15:v/>
          </x15:c>
          <x15:c>
            <x15:v>806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806</x15:v>
          </x15:c>
        </x15:pivotRow>
        <x15:pivotRow count="7">
          <x15:c>
            <x15:v>634</x15:v>
          </x15:c>
          <x15:c t="e">
            <x15:v/>
          </x15:c>
          <x15:c>
            <x15:v>561</x15:v>
          </x15:c>
          <x15:c>
            <x15:v>647</x15:v>
          </x15:c>
          <x15:c>
            <x15:v>727</x15:v>
          </x15:c>
          <x15:c>
            <x15:v>633</x15:v>
          </x15:c>
          <x15:c>
            <x15:v>3202</x15:v>
          </x15:c>
        </x15:pivotRow>
        <x15:pivotRow count="7">
          <x15:c>
            <x15:v>634</x15:v>
          </x15:c>
          <x15:c>
            <x15:v>806</x15:v>
          </x15:c>
          <x15:c>
            <x15:v>561</x15:v>
          </x15:c>
          <x15:c>
            <x15:v>647</x15:v>
          </x15:c>
          <x15:c>
            <x15:v>727</x15:v>
          </x15:c>
          <x15:c>
            <x15:v>633</x15:v>
          </x15:c>
          <x15:c>
            <x15:v>4008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laptop_battery_health_usage.xlsx!Table3_2">
        <x15:activeTabTopLevelEntity name="[Table3_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898A62-A20D-40A6-B3AF-65D4347C3576}" name="PivotChartTable1" cacheId="185" applyNumberFormats="0" applyBorderFormats="0" applyFontFormats="0" applyPatternFormats="0" applyAlignmentFormats="0" applyWidthHeightFormats="1" dataCaption="Values" updatedVersion="7" minRefreshableVersion="3" useAutoFormatting="1" subtotalHiddenItems="1" itemPrintTitles="1" createdVersion="7" indent="0" outline="1" outlineData="1" multipleFieldFilters="0" chartFormat="10">
  <location ref="A3:G10" firstHeaderRow="1" firstDataRow="2" firstDataCol="1"/>
  <pivotFields count="4">
    <pivotField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充電サイクル回数" fld="3" baseField="0" baseItem="0"/>
  </dataFields>
  <chartFormats count="5">
    <chartFormat chart="0" format="340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341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342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343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344" series="1">
      <pivotArea type="data" outline="0" fieldPosition="0">
        <references count="1">
          <reference field="2" count="1" selected="0">
            <x v="4"/>
          </reference>
        </references>
      </pivotArea>
    </chartFormat>
  </chart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rowHierarchiesUsage count="1">
    <rowHierarchyUsage hierarchyUsage="4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6" columnCount="6" cacheId="703634003">
        <x15:pivotRow count="6">
          <x15:c>
            <x15:v>400</x15:v>
          </x15:c>
          <x15:c>
            <x15:v>2250</x15:v>
          </x15:c>
          <x15:c t="e">
            <x15:v/>
          </x15:c>
          <x15:c t="e">
            <x15:v/>
          </x15:c>
          <x15:c t="e">
            <x15:v/>
          </x15:c>
          <x15:c>
            <x15:v>2650</x15:v>
          </x15:c>
        </x15:pivotRow>
        <x15:pivotRow count="6"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4680</x15:v>
          </x15:c>
          <x15:c>
            <x15:v>4680</x15:v>
          </x15:c>
        </x15:pivotRow>
        <x15:pivotRow count="6">
          <x15:c t="e">
            <x15:v/>
          </x15:c>
          <x15:c>
            <x15:v>410</x15:v>
          </x15:c>
          <x15:c>
            <x15:v>2770</x15:v>
          </x15:c>
          <x15:c>
            <x15:v>3340</x15:v>
          </x15:c>
          <x15:c>
            <x15:v>1750</x15:v>
          </x15:c>
          <x15:c>
            <x15:v>8270</x15:v>
          </x15:c>
        </x15:pivotRow>
        <x15:pivotRow count="6">
          <x15:c>
            <x15:v>1030</x15:v>
          </x15:c>
          <x15:c>
            <x15:v>1030</x15:v>
          </x15:c>
          <x15:c>
            <x15:v>800</x15:v>
          </x15:c>
          <x15:c t="e">
            <x15:v/>
          </x15:c>
          <x15:c>
            <x15:v>1780</x15:v>
          </x15:c>
          <x15:c>
            <x15:v>4640</x15:v>
          </x15:c>
        </x15:pivotRow>
        <x15:pivotRow count="6">
          <x15:c t="e">
            <x15:v/>
          </x15:c>
          <x15:c t="e">
            <x15:v/>
          </x15:c>
          <x15:c>
            <x15:v>920</x15:v>
          </x15:c>
          <x15:c>
            <x15:v>1160</x15:v>
          </x15:c>
          <x15:c>
            <x15:v>4000</x15:v>
          </x15:c>
          <x15:c>
            <x15:v>6080</x15:v>
          </x15:c>
        </x15:pivotRow>
        <x15:pivotRow count="6">
          <x15:c>
            <x15:v>1430</x15:v>
          </x15:c>
          <x15:c>
            <x15:v>3690</x15:v>
          </x15:c>
          <x15:c>
            <x15:v>4490</x15:v>
          </x15:c>
          <x15:c>
            <x15:v>4500</x15:v>
          </x15:c>
          <x15:c>
            <x15:v>12210</x15:v>
          </x15:c>
          <x15:c>
            <x15:v>26320</x15:v>
          </x15:c>
        </x15:pivotRow>
      </x15:pivotTableData>
    </ext>
    <ext xmlns:x15="http://schemas.microsoft.com/office/spreadsheetml/2010/11/main" uri="{E67621CE-5B39-4880-91FE-76760E9C1902}">
      <x15:pivotTableUISettings sourceDataName="WorksheetConnection_laptop_battery_health_usage.xlsx!Table3_2">
        <x15:activeTabTopLevelEntity name="[Table3_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62F0F8B-B5D8-4D9D-A9A9-656D54F77AEA}" autoFormatId="20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モデル年（発売年）" tableColumnId="2"/>
      <queryTableField id="3" name="1日あたりの使用時間" tableColumnId="3"/>
      <queryTableField id="4" name="充電サイクル回数" tableColumnId="4"/>
      <queryTableField id="5" name="平均充電上限（%）" tableColumnId="5"/>
      <queryTableField id="6" name="バッテリー健康度（%）" tableColumnId="6"/>
      <queryTableField id="7" name="バッテリー経過月数（か月）" tableColumnId="7"/>
      <queryTableField id="8" name="性能評価（レーティング）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E81F08E-0833-458E-9FCC-7AB43906C59B}" autoFormatId="20" applyNumberFormats="0" applyBorderFormats="0" applyFontFormats="0" applyPatternFormats="0" applyAlignmentFormats="0" applyWidthHeightFormats="0">
  <queryTableRefresh nextId="13">
    <queryTableFields count="12">
      <queryTableField id="1" name="デバイスID" tableColumnId="1"/>
      <queryTableField id="2" name="ブランド" tableColumnId="2"/>
      <queryTableField id="3" name="モデル年（発売年）" tableColumnId="3"/>
      <queryTableField id="4" name="os" tableColumnId="4"/>
      <queryTableField id="5" name="使用用途（利用タイプ）" tableColumnId="5"/>
      <queryTableField id="6" name="1日あたりの使用時間（時間）" tableColumnId="6"/>
      <queryTableField id="7" name="充電サイクル回数" tableColumnId="7"/>
      <queryTableField id="8" name="平均充電上限（%）" tableColumnId="8"/>
      <queryTableField id="9" name="バッテリー健康度（%）" tableColumnId="9"/>
      <queryTableField id="10" name="バッテリー経過月数（か月）" tableColumnId="10"/>
      <queryTableField id="11" name="過熱問題の有無" tableColumnId="11"/>
      <queryTableField id="12" name="性能評価（レーティング）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95A7E4-BEB5-4226-B731-D186FE7BF1F6}" name="Table1_2" displayName="Table1_2" ref="A1:H9" tableType="queryTable" totalsRowShown="0">
  <autoFilter ref="A1:H9" xr:uid="{8395A7E4-BEB5-4226-B731-D186FE7BF1F6}"/>
  <tableColumns count="8">
    <tableColumn id="1" xr3:uid="{ADFE966C-79BE-4A1E-B301-F5FD5149780B}" uniqueName="1" name="Column1" queryTableFieldId="1" dataDxfId="5"/>
    <tableColumn id="2" xr3:uid="{AF127B1F-C05A-48FE-8707-DB9A350AAA00}" uniqueName="2" name="モデル年（発売年）" queryTableFieldId="2"/>
    <tableColumn id="3" xr3:uid="{4826CC07-37E2-436A-BD08-3F10AC99F6E0}" uniqueName="3" name="1日あたりの使用時間" queryTableFieldId="3"/>
    <tableColumn id="4" xr3:uid="{2EEF8EB7-2CD3-4AE5-B116-872696AC7FA0}" uniqueName="4" name="充電サイクル回数" queryTableFieldId="4"/>
    <tableColumn id="5" xr3:uid="{368EEBA6-2A8B-4C6B-A112-50C4B64FC1F7}" uniqueName="5" name="平均充電上限（%）" queryTableFieldId="5"/>
    <tableColumn id="6" xr3:uid="{719B589D-76C0-4A73-A82F-38909EBAB09E}" uniqueName="6" name="バッテリー健康度（%）" queryTableFieldId="6"/>
    <tableColumn id="7" xr3:uid="{E0A364BF-F729-465F-BF01-1876A96A66CA}" uniqueName="7" name="バッテリー経過月数（か月）" queryTableFieldId="7"/>
    <tableColumn id="8" xr3:uid="{835FC656-1302-44CA-B4B8-C7A901665FA3}" uniqueName="8" name="性能評価（レーティング）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6D8CB4-7230-4137-B1B5-D510D1584D31}" name="Table3_2" displayName="Table3_2" ref="A1:L51" tableType="queryTable" totalsRowShown="0">
  <autoFilter ref="A1:L51" xr:uid="{8A6D8CB4-7230-4137-B1B5-D510D1584D31}"/>
  <tableColumns count="12">
    <tableColumn id="1" xr3:uid="{B9696EA5-895E-43AD-8F2E-067EAEC7A682}" uniqueName="1" name="デバイスID" queryTableFieldId="1" dataDxfId="4"/>
    <tableColumn id="2" xr3:uid="{8A76927F-46A1-4D87-A734-05DBA4006BDF}" uniqueName="2" name="ブランド" queryTableFieldId="2" dataDxfId="3"/>
    <tableColumn id="3" xr3:uid="{BB1A2A0F-6232-4E6F-A88D-34CB802C99FB}" uniqueName="3" name="モデル年（発売年）" queryTableFieldId="3"/>
    <tableColumn id="4" xr3:uid="{1F0D7D0B-D43B-466C-8E98-69B5EF7DC7F4}" uniqueName="4" name="os" queryTableFieldId="4" dataDxfId="2"/>
    <tableColumn id="5" xr3:uid="{51F3597F-F85C-4E4A-9BD2-F066B2ACA8C2}" uniqueName="5" name="使用用途（利用タイプ）" queryTableFieldId="5" dataDxfId="1"/>
    <tableColumn id="6" xr3:uid="{2C75575F-C0CA-4578-B956-5BA467251DEF}" uniqueName="6" name="1日あたりの使用時間（時間）" queryTableFieldId="6"/>
    <tableColumn id="7" xr3:uid="{C845226F-A0A6-4A5A-92A8-228D835E39BE}" uniqueName="7" name="充電サイクル回数" queryTableFieldId="7"/>
    <tableColumn id="8" xr3:uid="{0E24FE8B-D664-4157-BCE3-9E4E30F6537E}" uniqueName="8" name="平均充電上限（%）" queryTableFieldId="8"/>
    <tableColumn id="9" xr3:uid="{288CDEDB-5A69-4181-A7C0-071C1F04CAF7}" uniqueName="9" name="バッテリー健康度（%）" queryTableFieldId="9"/>
    <tableColumn id="10" xr3:uid="{5314C97A-1049-47B5-A83A-CC6C8115EF1A}" uniqueName="10" name="バッテリー経過月数（か月）" queryTableFieldId="10"/>
    <tableColumn id="11" xr3:uid="{C6DBE647-08F3-4A78-928C-714017D7BD24}" uniqueName="11" name="過熱問題の有無" queryTableFieldId="11" dataDxfId="0"/>
    <tableColumn id="12" xr3:uid="{D8BAF764-3EAD-4DDD-AE8C-0416883BC8A3}" uniqueName="12" name="性能評価（レーティング）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20E01-EFEB-40C3-A834-2443E117C32E}" name="Table1" displayName="Table1" ref="A56:H64" totalsRowShown="0" headerRowDxfId="6" headerRowBorderDxfId="16" tableBorderDxfId="17" totalsRowBorderDxfId="15">
  <autoFilter ref="A56:H64" xr:uid="{A6620E01-EFEB-40C3-A834-2443E117C32E}"/>
  <tableColumns count="8">
    <tableColumn id="1" xr3:uid="{56DD4AC7-69EA-4E81-8561-C8B81CBA6687}" name="Analysis" dataDxfId="14"/>
    <tableColumn id="2" xr3:uid="{E7297461-E9E5-4352-BA1D-2DB6A95548C6}" name="モデル年（発売年）" dataDxfId="13"/>
    <tableColumn id="3" xr3:uid="{AB873455-4366-4345-9D2C-234624F91380}" name="1日あたりの使用時間" dataDxfId="12"/>
    <tableColumn id="4" xr3:uid="{20BC8241-6222-4C5F-BE29-8987543C7601}" name="充電サイクル回数" dataDxfId="11"/>
    <tableColumn id="5" xr3:uid="{92447EC2-7B90-4232-8966-B4E918D8DA64}" name="平均充電上限（%）" dataDxfId="10"/>
    <tableColumn id="6" xr3:uid="{4FDCCF8A-C6B0-4903-AE7E-224C1D30D30C}" name="バッテリー健康度（%）" dataDxfId="9"/>
    <tableColumn id="7" xr3:uid="{D5177898-A259-4C33-A577-18405FAAD41E}" name="バッテリー経過月数（か月）" dataDxfId="8"/>
    <tableColumn id="8" xr3:uid="{D6023106-8F88-4904-A7CA-D1ADE5E7B401}" name="性能評価（レーティング）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05C706-B730-4368-B17D-A4391D291B84}" name="Table3" displayName="Table3" ref="A1:L51" totalsRowShown="0">
  <autoFilter ref="A1:L51" xr:uid="{6805C706-B730-4368-B17D-A4391D291B84}"/>
  <tableColumns count="12">
    <tableColumn id="1" xr3:uid="{73047392-AE25-4398-9D78-0B2408E52DF4}" name="デバイスID"/>
    <tableColumn id="2" xr3:uid="{37C2D4DA-7801-4353-B48D-CFE3EFCC31B4}" name="ブランド"/>
    <tableColumn id="3" xr3:uid="{B876E19B-7896-43C0-A8D3-2817D4ABAD39}" name="モデル年（発売年）"/>
    <tableColumn id="4" xr3:uid="{AED73E22-2039-4407-86D6-EE9F8ADE23EE}" name="os"/>
    <tableColumn id="5" xr3:uid="{FA37428C-DBE8-4F61-BD6C-516B0387D3CA}" name="使用用途（利用タイプ）"/>
    <tableColumn id="6" xr3:uid="{27ECAD93-8292-416C-B387-BC9BC196362E}" name="1日あたりの使用時間（時間）"/>
    <tableColumn id="7" xr3:uid="{0B108712-81AB-494D-B238-853D860453BD}" name="充電サイクル回数"/>
    <tableColumn id="8" xr3:uid="{4A562070-9B2F-43C0-AFF3-8E82E003A0B6}" name="平均充電上限（%）"/>
    <tableColumn id="9" xr3:uid="{5C081867-D598-466F-979B-DA51628C6E3D}" name="バッテリー健康度（%）"/>
    <tableColumn id="10" xr3:uid="{61B469FA-21D2-4F23-A6DA-BB6BDCF994AD}" name="バッテリー経過月数（か月）"/>
    <tableColumn id="11" xr3:uid="{F621B987-E853-40E5-9C1C-4E5F46366E16}" name="過熱問題の有無"/>
    <tableColumn id="12" xr3:uid="{B64BC274-BBC3-4C12-BC9C-FB8315476490}" name="性能評価（レーティング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1980-4B36-4DEB-BB60-5E8F18B4D1BA}">
  <dimension ref="A1:H9"/>
  <sheetViews>
    <sheetView workbookViewId="0"/>
  </sheetViews>
  <sheetFormatPr defaultRowHeight="18" x14ac:dyDescent="0.45"/>
  <cols>
    <col min="1" max="1" width="22.796875" bestFit="1" customWidth="1"/>
    <col min="2" max="2" width="20.19921875" bestFit="1" customWidth="1"/>
    <col min="3" max="3" width="21.3984375" bestFit="1" customWidth="1"/>
    <col min="4" max="4" width="18.09765625" bestFit="1" customWidth="1"/>
    <col min="5" max="5" width="19.8984375" bestFit="1" customWidth="1"/>
    <col min="6" max="6" width="23.8984375" bestFit="1" customWidth="1"/>
    <col min="7" max="7" width="28.09765625" bestFit="1" customWidth="1"/>
    <col min="8" max="8" width="26" bestFit="1" customWidth="1"/>
  </cols>
  <sheetData>
    <row r="1" spans="1:8" x14ac:dyDescent="0.45">
      <c r="A1" t="s">
        <v>95</v>
      </c>
      <c r="B1" t="s">
        <v>88</v>
      </c>
      <c r="C1" t="s">
        <v>77</v>
      </c>
      <c r="D1" t="s">
        <v>96</v>
      </c>
      <c r="E1" t="s">
        <v>97</v>
      </c>
      <c r="F1" t="s">
        <v>98</v>
      </c>
      <c r="G1" t="s">
        <v>99</v>
      </c>
      <c r="H1" t="s">
        <v>100</v>
      </c>
    </row>
    <row r="2" spans="1:8" x14ac:dyDescent="0.45">
      <c r="A2" s="16" t="s">
        <v>82</v>
      </c>
      <c r="B2">
        <v>50</v>
      </c>
      <c r="C2">
        <v>50</v>
      </c>
      <c r="D2">
        <v>50</v>
      </c>
      <c r="E2">
        <v>50</v>
      </c>
      <c r="F2">
        <v>50</v>
      </c>
      <c r="G2">
        <v>50</v>
      </c>
      <c r="H2">
        <v>50</v>
      </c>
    </row>
    <row r="3" spans="1:8" x14ac:dyDescent="0.45">
      <c r="A3" s="16" t="s">
        <v>84</v>
      </c>
      <c r="B3">
        <v>2020.56</v>
      </c>
      <c r="C3">
        <v>6.6</v>
      </c>
      <c r="D3">
        <v>526.4</v>
      </c>
      <c r="E3">
        <v>92.1</v>
      </c>
      <c r="F3">
        <v>80.16</v>
      </c>
      <c r="G3">
        <v>42.24</v>
      </c>
      <c r="H3">
        <v>3.58</v>
      </c>
    </row>
    <row r="4" spans="1:8" x14ac:dyDescent="0.45">
      <c r="A4" s="16" t="s">
        <v>86</v>
      </c>
      <c r="B4">
        <v>1.5670067658059526</v>
      </c>
      <c r="C4">
        <v>1.4982983545287878</v>
      </c>
      <c r="D4">
        <v>220.40556309879739</v>
      </c>
      <c r="E4">
        <v>6.8578868643991191</v>
      </c>
      <c r="F4">
        <v>11.832780479563983</v>
      </c>
      <c r="G4">
        <v>18.118160919421175</v>
      </c>
      <c r="H4">
        <v>1.14446315727827</v>
      </c>
    </row>
    <row r="5" spans="1:8" x14ac:dyDescent="0.45">
      <c r="A5" s="16" t="s">
        <v>80</v>
      </c>
      <c r="B5">
        <v>2018</v>
      </c>
      <c r="C5">
        <v>4</v>
      </c>
      <c r="D5">
        <v>180</v>
      </c>
      <c r="E5">
        <v>80</v>
      </c>
      <c r="F5">
        <v>55</v>
      </c>
      <c r="G5">
        <v>12</v>
      </c>
      <c r="H5">
        <v>1</v>
      </c>
    </row>
    <row r="6" spans="1:8" x14ac:dyDescent="0.45">
      <c r="A6" s="16" t="s">
        <v>89</v>
      </c>
      <c r="B6">
        <v>2019.25</v>
      </c>
      <c r="C6">
        <v>6</v>
      </c>
      <c r="D6">
        <v>342.5</v>
      </c>
      <c r="E6">
        <v>85</v>
      </c>
      <c r="F6">
        <v>72.5</v>
      </c>
      <c r="G6">
        <v>25.5</v>
      </c>
      <c r="H6">
        <v>3</v>
      </c>
    </row>
    <row r="7" spans="1:8" x14ac:dyDescent="0.45">
      <c r="A7" s="16" t="s">
        <v>91</v>
      </c>
      <c r="B7">
        <v>2021</v>
      </c>
      <c r="C7">
        <v>6</v>
      </c>
      <c r="D7">
        <v>495</v>
      </c>
      <c r="E7">
        <v>90</v>
      </c>
      <c r="F7">
        <v>82.5</v>
      </c>
      <c r="G7">
        <v>38</v>
      </c>
      <c r="H7">
        <v>4</v>
      </c>
    </row>
    <row r="8" spans="1:8" x14ac:dyDescent="0.45">
      <c r="A8" s="16" t="s">
        <v>93</v>
      </c>
      <c r="B8">
        <v>2022</v>
      </c>
      <c r="C8">
        <v>8</v>
      </c>
      <c r="D8">
        <v>695</v>
      </c>
      <c r="E8">
        <v>100</v>
      </c>
      <c r="F8">
        <v>90</v>
      </c>
      <c r="G8">
        <v>58.5</v>
      </c>
      <c r="H8">
        <v>4.75</v>
      </c>
    </row>
    <row r="9" spans="1:8" x14ac:dyDescent="0.45">
      <c r="A9" s="16" t="s">
        <v>78</v>
      </c>
      <c r="B9">
        <v>2023</v>
      </c>
      <c r="C9">
        <v>10</v>
      </c>
      <c r="D9">
        <v>950</v>
      </c>
      <c r="E9">
        <v>100</v>
      </c>
      <c r="F9">
        <v>98</v>
      </c>
      <c r="G9">
        <v>72</v>
      </c>
      <c r="H9">
        <v>5</v>
      </c>
    </row>
  </sheetData>
  <phoneticPr fontId="18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6C3E2-BFE3-4A67-9E2D-35BA153DB45B}">
  <dimension ref="A1"/>
  <sheetViews>
    <sheetView zoomScaleNormal="100" workbookViewId="0">
      <selection activeCell="K16" sqref="K16"/>
    </sheetView>
  </sheetViews>
  <sheetFormatPr defaultRowHeight="18" x14ac:dyDescent="0.45"/>
  <sheetData/>
  <phoneticPr fontId="18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0B9DE-E8D8-4D0F-918A-EE12D9964C6D}">
  <dimension ref="A1:L51"/>
  <sheetViews>
    <sheetView topLeftCell="A31" workbookViewId="0">
      <selection activeCell="B1" sqref="B1:B51"/>
    </sheetView>
  </sheetViews>
  <sheetFormatPr defaultRowHeight="18" x14ac:dyDescent="0.45"/>
  <cols>
    <col min="1" max="1" width="13.3984375" bestFit="1" customWidth="1"/>
    <col min="2" max="2" width="11.19921875" bestFit="1" customWidth="1"/>
    <col min="3" max="3" width="21.3984375" bestFit="1" customWidth="1"/>
    <col min="4" max="4" width="9.5" bestFit="1" customWidth="1"/>
    <col min="5" max="5" width="25.5" bestFit="1" customWidth="1"/>
    <col min="6" max="6" width="31.09765625" bestFit="1" customWidth="1"/>
    <col min="7" max="7" width="19.09765625" bestFit="1" customWidth="1"/>
    <col min="8" max="8" width="21.19921875" bestFit="1" customWidth="1"/>
    <col min="9" max="9" width="25.3984375" bestFit="1" customWidth="1"/>
    <col min="10" max="10" width="29.8984375" bestFit="1" customWidth="1"/>
    <col min="11" max="11" width="17.3984375" bestFit="1" customWidth="1"/>
    <col min="12" max="12" width="27.69921875" bestFit="1" customWidth="1"/>
  </cols>
  <sheetData>
    <row r="1" spans="1:12" x14ac:dyDescent="0.45">
      <c r="A1" t="s">
        <v>103</v>
      </c>
      <c r="B1" t="s">
        <v>102</v>
      </c>
      <c r="C1" t="s">
        <v>88</v>
      </c>
      <c r="D1" t="s">
        <v>0</v>
      </c>
      <c r="E1" t="s">
        <v>104</v>
      </c>
      <c r="F1" t="s">
        <v>105</v>
      </c>
      <c r="G1" t="s">
        <v>71</v>
      </c>
      <c r="H1" t="s">
        <v>72</v>
      </c>
      <c r="I1" t="s">
        <v>98</v>
      </c>
      <c r="J1" t="s">
        <v>99</v>
      </c>
      <c r="K1" t="s">
        <v>106</v>
      </c>
      <c r="L1" t="s">
        <v>100</v>
      </c>
    </row>
    <row r="2" spans="1:12" x14ac:dyDescent="0.45">
      <c r="A2" s="16" t="s">
        <v>1</v>
      </c>
      <c r="B2" s="16" t="s">
        <v>2</v>
      </c>
      <c r="C2">
        <v>2021</v>
      </c>
      <c r="D2" s="16" t="s">
        <v>3</v>
      </c>
      <c r="E2" s="16" t="s">
        <v>4</v>
      </c>
      <c r="F2">
        <v>6</v>
      </c>
      <c r="G2">
        <v>420</v>
      </c>
      <c r="H2">
        <v>90</v>
      </c>
      <c r="I2">
        <v>86</v>
      </c>
      <c r="J2">
        <v>36</v>
      </c>
      <c r="K2" s="16" t="s">
        <v>5</v>
      </c>
      <c r="L2">
        <v>4</v>
      </c>
    </row>
    <row r="3" spans="1:12" x14ac:dyDescent="0.45">
      <c r="A3" s="16" t="s">
        <v>6</v>
      </c>
      <c r="B3" s="16" t="s">
        <v>7</v>
      </c>
      <c r="C3">
        <v>2020</v>
      </c>
      <c r="D3" s="16" t="s">
        <v>3</v>
      </c>
      <c r="E3" s="16" t="s">
        <v>8</v>
      </c>
      <c r="F3">
        <v>8</v>
      </c>
      <c r="G3">
        <v>610</v>
      </c>
      <c r="H3">
        <v>100</v>
      </c>
      <c r="I3">
        <v>78</v>
      </c>
      <c r="J3">
        <v>48</v>
      </c>
      <c r="K3" s="16" t="s">
        <v>9</v>
      </c>
      <c r="L3">
        <v>3</v>
      </c>
    </row>
    <row r="4" spans="1:12" x14ac:dyDescent="0.45">
      <c r="A4" s="16" t="s">
        <v>10</v>
      </c>
      <c r="B4" s="16" t="s">
        <v>11</v>
      </c>
      <c r="C4">
        <v>2022</v>
      </c>
      <c r="D4" s="16" t="s">
        <v>12</v>
      </c>
      <c r="E4" s="16" t="s">
        <v>13</v>
      </c>
      <c r="F4">
        <v>7</v>
      </c>
      <c r="G4">
        <v>310</v>
      </c>
      <c r="H4">
        <v>85</v>
      </c>
      <c r="I4">
        <v>92</v>
      </c>
      <c r="J4">
        <v>24</v>
      </c>
      <c r="K4" s="16" t="s">
        <v>5</v>
      </c>
      <c r="L4">
        <v>5</v>
      </c>
    </row>
    <row r="5" spans="1:12" x14ac:dyDescent="0.45">
      <c r="A5" s="16" t="s">
        <v>14</v>
      </c>
      <c r="B5" s="16" t="s">
        <v>15</v>
      </c>
      <c r="C5">
        <v>2019</v>
      </c>
      <c r="D5" s="16" t="s">
        <v>3</v>
      </c>
      <c r="E5" s="16" t="s">
        <v>16</v>
      </c>
      <c r="F5">
        <v>5</v>
      </c>
      <c r="G5">
        <v>700</v>
      </c>
      <c r="H5">
        <v>100</v>
      </c>
      <c r="I5">
        <v>70</v>
      </c>
      <c r="J5">
        <v>60</v>
      </c>
      <c r="K5" s="16" t="s">
        <v>9</v>
      </c>
      <c r="L5">
        <v>3</v>
      </c>
    </row>
    <row r="6" spans="1:12" x14ac:dyDescent="0.45">
      <c r="A6" s="16" t="s">
        <v>17</v>
      </c>
      <c r="B6" s="16" t="s">
        <v>18</v>
      </c>
      <c r="C6">
        <v>2021</v>
      </c>
      <c r="D6" s="16" t="s">
        <v>3</v>
      </c>
      <c r="E6" s="16" t="s">
        <v>19</v>
      </c>
      <c r="F6">
        <v>9</v>
      </c>
      <c r="G6">
        <v>820</v>
      </c>
      <c r="H6">
        <v>100</v>
      </c>
      <c r="I6">
        <v>65</v>
      </c>
      <c r="J6">
        <v>40</v>
      </c>
      <c r="K6" s="16" t="s">
        <v>9</v>
      </c>
      <c r="L6">
        <v>2</v>
      </c>
    </row>
    <row r="7" spans="1:12" x14ac:dyDescent="0.45">
      <c r="A7" s="16" t="s">
        <v>20</v>
      </c>
      <c r="B7" s="16" t="s">
        <v>21</v>
      </c>
      <c r="C7">
        <v>2020</v>
      </c>
      <c r="D7" s="16" t="s">
        <v>3</v>
      </c>
      <c r="E7" s="16" t="s">
        <v>4</v>
      </c>
      <c r="F7">
        <v>6</v>
      </c>
      <c r="G7">
        <v>540</v>
      </c>
      <c r="H7">
        <v>95</v>
      </c>
      <c r="I7">
        <v>80</v>
      </c>
      <c r="J7">
        <v>50</v>
      </c>
      <c r="K7" s="16" t="s">
        <v>5</v>
      </c>
      <c r="L7">
        <v>4</v>
      </c>
    </row>
    <row r="8" spans="1:12" x14ac:dyDescent="0.45">
      <c r="A8" s="16" t="s">
        <v>22</v>
      </c>
      <c r="B8" s="16" t="s">
        <v>11</v>
      </c>
      <c r="C8">
        <v>2023</v>
      </c>
      <c r="D8" s="16" t="s">
        <v>12</v>
      </c>
      <c r="E8" s="16" t="s">
        <v>8</v>
      </c>
      <c r="F8">
        <v>8</v>
      </c>
      <c r="G8">
        <v>210</v>
      </c>
      <c r="H8">
        <v>80</v>
      </c>
      <c r="I8">
        <v>95</v>
      </c>
      <c r="J8">
        <v>18</v>
      </c>
      <c r="K8" s="16" t="s">
        <v>5</v>
      </c>
      <c r="L8">
        <v>5</v>
      </c>
    </row>
    <row r="9" spans="1:12" x14ac:dyDescent="0.45">
      <c r="A9" s="16" t="s">
        <v>23</v>
      </c>
      <c r="B9" s="16" t="s">
        <v>2</v>
      </c>
      <c r="C9">
        <v>2018</v>
      </c>
      <c r="D9" s="16" t="s">
        <v>3</v>
      </c>
      <c r="E9" s="16" t="s">
        <v>16</v>
      </c>
      <c r="F9">
        <v>4</v>
      </c>
      <c r="G9">
        <v>880</v>
      </c>
      <c r="H9">
        <v>100</v>
      </c>
      <c r="I9">
        <v>60</v>
      </c>
      <c r="J9">
        <v>72</v>
      </c>
      <c r="K9" s="16" t="s">
        <v>9</v>
      </c>
      <c r="L9">
        <v>2</v>
      </c>
    </row>
    <row r="10" spans="1:12" x14ac:dyDescent="0.45">
      <c r="A10" s="16" t="s">
        <v>24</v>
      </c>
      <c r="B10" s="16" t="s">
        <v>7</v>
      </c>
      <c r="C10">
        <v>2022</v>
      </c>
      <c r="D10" s="16" t="s">
        <v>3</v>
      </c>
      <c r="E10" s="16" t="s">
        <v>4</v>
      </c>
      <c r="F10">
        <v>6</v>
      </c>
      <c r="G10">
        <v>350</v>
      </c>
      <c r="H10">
        <v>90</v>
      </c>
      <c r="I10">
        <v>88</v>
      </c>
      <c r="J10">
        <v>30</v>
      </c>
      <c r="K10" s="16" t="s">
        <v>5</v>
      </c>
      <c r="L10">
        <v>4</v>
      </c>
    </row>
    <row r="11" spans="1:12" x14ac:dyDescent="0.45">
      <c r="A11" s="16" t="s">
        <v>25</v>
      </c>
      <c r="B11" s="16" t="s">
        <v>15</v>
      </c>
      <c r="C11">
        <v>2021</v>
      </c>
      <c r="D11" s="16" t="s">
        <v>3</v>
      </c>
      <c r="E11" s="16" t="s">
        <v>8</v>
      </c>
      <c r="F11">
        <v>7</v>
      </c>
      <c r="G11">
        <v>480</v>
      </c>
      <c r="H11">
        <v>85</v>
      </c>
      <c r="I11">
        <v>83</v>
      </c>
      <c r="J11">
        <v>36</v>
      </c>
      <c r="K11" s="16" t="s">
        <v>5</v>
      </c>
      <c r="L11">
        <v>4</v>
      </c>
    </row>
    <row r="12" spans="1:12" x14ac:dyDescent="0.45">
      <c r="A12" s="16" t="s">
        <v>26</v>
      </c>
      <c r="B12" s="16" t="s">
        <v>18</v>
      </c>
      <c r="C12">
        <v>2020</v>
      </c>
      <c r="D12" s="16" t="s">
        <v>3</v>
      </c>
      <c r="E12" s="16" t="s">
        <v>19</v>
      </c>
      <c r="F12">
        <v>10</v>
      </c>
      <c r="G12">
        <v>900</v>
      </c>
      <c r="H12">
        <v>100</v>
      </c>
      <c r="I12">
        <v>58</v>
      </c>
      <c r="J12">
        <v>54</v>
      </c>
      <c r="K12" s="16" t="s">
        <v>9</v>
      </c>
      <c r="L12">
        <v>2</v>
      </c>
    </row>
    <row r="13" spans="1:12" x14ac:dyDescent="0.45">
      <c r="A13" s="16" t="s">
        <v>27</v>
      </c>
      <c r="B13" s="16" t="s">
        <v>21</v>
      </c>
      <c r="C13">
        <v>2019</v>
      </c>
      <c r="D13" s="16" t="s">
        <v>3</v>
      </c>
      <c r="E13" s="16" t="s">
        <v>4</v>
      </c>
      <c r="F13">
        <v>5</v>
      </c>
      <c r="G13">
        <v>620</v>
      </c>
      <c r="H13">
        <v>95</v>
      </c>
      <c r="I13">
        <v>75</v>
      </c>
      <c r="J13">
        <v>60</v>
      </c>
      <c r="K13" s="16" t="s">
        <v>5</v>
      </c>
      <c r="L13">
        <v>3</v>
      </c>
    </row>
    <row r="14" spans="1:12" x14ac:dyDescent="0.45">
      <c r="A14" s="16" t="s">
        <v>28</v>
      </c>
      <c r="B14" s="16" t="s">
        <v>11</v>
      </c>
      <c r="C14">
        <v>2021</v>
      </c>
      <c r="D14" s="16" t="s">
        <v>12</v>
      </c>
      <c r="E14" s="16" t="s">
        <v>13</v>
      </c>
      <c r="F14">
        <v>6</v>
      </c>
      <c r="G14">
        <v>400</v>
      </c>
      <c r="H14">
        <v>80</v>
      </c>
      <c r="I14">
        <v>90</v>
      </c>
      <c r="J14">
        <v>42</v>
      </c>
      <c r="K14" s="16" t="s">
        <v>5</v>
      </c>
      <c r="L14">
        <v>5</v>
      </c>
    </row>
    <row r="15" spans="1:12" x14ac:dyDescent="0.45">
      <c r="A15" s="16" t="s">
        <v>29</v>
      </c>
      <c r="B15" s="16" t="s">
        <v>2</v>
      </c>
      <c r="C15">
        <v>2022</v>
      </c>
      <c r="D15" s="16" t="s">
        <v>3</v>
      </c>
      <c r="E15" s="16" t="s">
        <v>16</v>
      </c>
      <c r="F15">
        <v>5</v>
      </c>
      <c r="G15">
        <v>300</v>
      </c>
      <c r="H15">
        <v>90</v>
      </c>
      <c r="I15">
        <v>91</v>
      </c>
      <c r="J15">
        <v>24</v>
      </c>
      <c r="K15" s="16" t="s">
        <v>5</v>
      </c>
      <c r="L15">
        <v>5</v>
      </c>
    </row>
    <row r="16" spans="1:12" x14ac:dyDescent="0.45">
      <c r="A16" s="16" t="s">
        <v>30</v>
      </c>
      <c r="B16" s="16" t="s">
        <v>7</v>
      </c>
      <c r="C16">
        <v>2018</v>
      </c>
      <c r="D16" s="16" t="s">
        <v>3</v>
      </c>
      <c r="E16" s="16" t="s">
        <v>4</v>
      </c>
      <c r="F16">
        <v>6</v>
      </c>
      <c r="G16">
        <v>850</v>
      </c>
      <c r="H16">
        <v>100</v>
      </c>
      <c r="I16">
        <v>62</v>
      </c>
      <c r="J16">
        <v>72</v>
      </c>
      <c r="K16" s="16" t="s">
        <v>9</v>
      </c>
      <c r="L16">
        <v>2</v>
      </c>
    </row>
    <row r="17" spans="1:12" x14ac:dyDescent="0.45">
      <c r="A17" s="16" t="s">
        <v>31</v>
      </c>
      <c r="B17" s="16" t="s">
        <v>15</v>
      </c>
      <c r="C17">
        <v>2023</v>
      </c>
      <c r="D17" s="16" t="s">
        <v>3</v>
      </c>
      <c r="E17" s="16" t="s">
        <v>8</v>
      </c>
      <c r="F17">
        <v>8</v>
      </c>
      <c r="G17">
        <v>220</v>
      </c>
      <c r="H17">
        <v>85</v>
      </c>
      <c r="I17">
        <v>94</v>
      </c>
      <c r="J17">
        <v>18</v>
      </c>
      <c r="K17" s="16" t="s">
        <v>5</v>
      </c>
      <c r="L17">
        <v>5</v>
      </c>
    </row>
    <row r="18" spans="1:12" x14ac:dyDescent="0.45">
      <c r="A18" s="16" t="s">
        <v>32</v>
      </c>
      <c r="B18" s="16" t="s">
        <v>18</v>
      </c>
      <c r="C18">
        <v>2021</v>
      </c>
      <c r="D18" s="16" t="s">
        <v>3</v>
      </c>
      <c r="E18" s="16" t="s">
        <v>4</v>
      </c>
      <c r="F18">
        <v>6</v>
      </c>
      <c r="G18">
        <v>450</v>
      </c>
      <c r="H18">
        <v>90</v>
      </c>
      <c r="I18">
        <v>85</v>
      </c>
      <c r="J18">
        <v>36</v>
      </c>
      <c r="K18" s="16" t="s">
        <v>5</v>
      </c>
      <c r="L18">
        <v>4</v>
      </c>
    </row>
    <row r="19" spans="1:12" x14ac:dyDescent="0.45">
      <c r="A19" s="16" t="s">
        <v>33</v>
      </c>
      <c r="B19" s="16" t="s">
        <v>21</v>
      </c>
      <c r="C19">
        <v>2020</v>
      </c>
      <c r="D19" s="16" t="s">
        <v>3</v>
      </c>
      <c r="E19" s="16" t="s">
        <v>16</v>
      </c>
      <c r="F19">
        <v>4</v>
      </c>
      <c r="G19">
        <v>560</v>
      </c>
      <c r="H19">
        <v>95</v>
      </c>
      <c r="I19">
        <v>79</v>
      </c>
      <c r="J19">
        <v>48</v>
      </c>
      <c r="K19" s="16" t="s">
        <v>5</v>
      </c>
      <c r="L19">
        <v>3</v>
      </c>
    </row>
    <row r="20" spans="1:12" x14ac:dyDescent="0.45">
      <c r="A20" s="16" t="s">
        <v>34</v>
      </c>
      <c r="B20" s="16" t="s">
        <v>11</v>
      </c>
      <c r="C20">
        <v>2019</v>
      </c>
      <c r="D20" s="16" t="s">
        <v>12</v>
      </c>
      <c r="E20" s="16" t="s">
        <v>13</v>
      </c>
      <c r="F20">
        <v>7</v>
      </c>
      <c r="G20">
        <v>680</v>
      </c>
      <c r="H20">
        <v>85</v>
      </c>
      <c r="I20">
        <v>82</v>
      </c>
      <c r="J20">
        <v>60</v>
      </c>
      <c r="K20" s="16" t="s">
        <v>5</v>
      </c>
      <c r="L20">
        <v>4</v>
      </c>
    </row>
    <row r="21" spans="1:12" x14ac:dyDescent="0.45">
      <c r="A21" s="16" t="s">
        <v>35</v>
      </c>
      <c r="B21" s="16" t="s">
        <v>2</v>
      </c>
      <c r="C21">
        <v>2022</v>
      </c>
      <c r="D21" s="16" t="s">
        <v>3</v>
      </c>
      <c r="E21" s="16" t="s">
        <v>4</v>
      </c>
      <c r="F21">
        <v>6</v>
      </c>
      <c r="G21">
        <v>310</v>
      </c>
      <c r="H21">
        <v>90</v>
      </c>
      <c r="I21">
        <v>89</v>
      </c>
      <c r="J21">
        <v>24</v>
      </c>
      <c r="K21" s="16" t="s">
        <v>5</v>
      </c>
      <c r="L21">
        <v>4</v>
      </c>
    </row>
    <row r="22" spans="1:12" x14ac:dyDescent="0.45">
      <c r="A22" s="16" t="s">
        <v>36</v>
      </c>
      <c r="B22" s="16" t="s">
        <v>7</v>
      </c>
      <c r="C22">
        <v>2021</v>
      </c>
      <c r="D22" s="16" t="s">
        <v>3</v>
      </c>
      <c r="E22" s="16" t="s">
        <v>8</v>
      </c>
      <c r="F22">
        <v>8</v>
      </c>
      <c r="G22">
        <v>490</v>
      </c>
      <c r="H22">
        <v>100</v>
      </c>
      <c r="I22">
        <v>81</v>
      </c>
      <c r="J22">
        <v>36</v>
      </c>
      <c r="K22" s="16" t="s">
        <v>5</v>
      </c>
      <c r="L22">
        <v>4</v>
      </c>
    </row>
    <row r="23" spans="1:12" x14ac:dyDescent="0.45">
      <c r="A23" s="16" t="s">
        <v>37</v>
      </c>
      <c r="B23" s="16" t="s">
        <v>15</v>
      </c>
      <c r="C23">
        <v>2020</v>
      </c>
      <c r="D23" s="16" t="s">
        <v>3</v>
      </c>
      <c r="E23" s="16" t="s">
        <v>16</v>
      </c>
      <c r="F23">
        <v>5</v>
      </c>
      <c r="G23">
        <v>600</v>
      </c>
      <c r="H23">
        <v>95</v>
      </c>
      <c r="I23">
        <v>76</v>
      </c>
      <c r="J23">
        <v>48</v>
      </c>
      <c r="K23" s="16" t="s">
        <v>5</v>
      </c>
      <c r="L23">
        <v>3</v>
      </c>
    </row>
    <row r="24" spans="1:12" x14ac:dyDescent="0.45">
      <c r="A24" s="16" t="s">
        <v>38</v>
      </c>
      <c r="B24" s="16" t="s">
        <v>18</v>
      </c>
      <c r="C24">
        <v>2022</v>
      </c>
      <c r="D24" s="16" t="s">
        <v>3</v>
      </c>
      <c r="E24" s="16" t="s">
        <v>19</v>
      </c>
      <c r="F24">
        <v>9</v>
      </c>
      <c r="G24">
        <v>520</v>
      </c>
      <c r="H24">
        <v>100</v>
      </c>
      <c r="I24">
        <v>74</v>
      </c>
      <c r="J24">
        <v>30</v>
      </c>
      <c r="K24" s="16" t="s">
        <v>9</v>
      </c>
      <c r="L24">
        <v>3</v>
      </c>
    </row>
    <row r="25" spans="1:12" x14ac:dyDescent="0.45">
      <c r="A25" s="16" t="s">
        <v>39</v>
      </c>
      <c r="B25" s="16" t="s">
        <v>21</v>
      </c>
      <c r="C25">
        <v>2018</v>
      </c>
      <c r="D25" s="16" t="s">
        <v>3</v>
      </c>
      <c r="E25" s="16" t="s">
        <v>4</v>
      </c>
      <c r="F25">
        <v>6</v>
      </c>
      <c r="G25">
        <v>900</v>
      </c>
      <c r="H25">
        <v>100</v>
      </c>
      <c r="I25">
        <v>59</v>
      </c>
      <c r="J25">
        <v>72</v>
      </c>
      <c r="K25" s="16" t="s">
        <v>9</v>
      </c>
      <c r="L25">
        <v>2</v>
      </c>
    </row>
    <row r="26" spans="1:12" x14ac:dyDescent="0.45">
      <c r="A26" s="16" t="s">
        <v>40</v>
      </c>
      <c r="B26" s="16" t="s">
        <v>11</v>
      </c>
      <c r="C26">
        <v>2023</v>
      </c>
      <c r="D26" s="16" t="s">
        <v>12</v>
      </c>
      <c r="E26" s="16" t="s">
        <v>8</v>
      </c>
      <c r="F26">
        <v>7</v>
      </c>
      <c r="G26">
        <v>180</v>
      </c>
      <c r="H26">
        <v>80</v>
      </c>
      <c r="I26">
        <v>97</v>
      </c>
      <c r="J26">
        <v>12</v>
      </c>
      <c r="K26" s="16" t="s">
        <v>5</v>
      </c>
      <c r="L26">
        <v>5</v>
      </c>
    </row>
    <row r="27" spans="1:12" x14ac:dyDescent="0.45">
      <c r="A27" s="16" t="s">
        <v>41</v>
      </c>
      <c r="B27" s="16" t="s">
        <v>2</v>
      </c>
      <c r="C27">
        <v>2020</v>
      </c>
      <c r="D27" s="16" t="s">
        <v>3</v>
      </c>
      <c r="E27" s="16" t="s">
        <v>4</v>
      </c>
      <c r="F27">
        <v>6</v>
      </c>
      <c r="G27">
        <v>570</v>
      </c>
      <c r="H27">
        <v>95</v>
      </c>
      <c r="I27">
        <v>77</v>
      </c>
      <c r="J27">
        <v>48</v>
      </c>
      <c r="K27" s="16" t="s">
        <v>5</v>
      </c>
      <c r="L27">
        <v>3</v>
      </c>
    </row>
    <row r="28" spans="1:12" x14ac:dyDescent="0.45">
      <c r="A28" s="16" t="s">
        <v>42</v>
      </c>
      <c r="B28" s="16" t="s">
        <v>7</v>
      </c>
      <c r="C28">
        <v>2019</v>
      </c>
      <c r="D28" s="16" t="s">
        <v>3</v>
      </c>
      <c r="E28" s="16" t="s">
        <v>16</v>
      </c>
      <c r="F28">
        <v>5</v>
      </c>
      <c r="G28">
        <v>730</v>
      </c>
      <c r="H28">
        <v>100</v>
      </c>
      <c r="I28">
        <v>68</v>
      </c>
      <c r="J28">
        <v>60</v>
      </c>
      <c r="K28" s="16" t="s">
        <v>9</v>
      </c>
      <c r="L28">
        <v>2</v>
      </c>
    </row>
    <row r="29" spans="1:12" x14ac:dyDescent="0.45">
      <c r="A29" s="16" t="s">
        <v>43</v>
      </c>
      <c r="B29" s="16" t="s">
        <v>15</v>
      </c>
      <c r="C29">
        <v>2021</v>
      </c>
      <c r="D29" s="16" t="s">
        <v>3</v>
      </c>
      <c r="E29" s="16" t="s">
        <v>8</v>
      </c>
      <c r="F29">
        <v>8</v>
      </c>
      <c r="G29">
        <v>460</v>
      </c>
      <c r="H29">
        <v>90</v>
      </c>
      <c r="I29">
        <v>84</v>
      </c>
      <c r="J29">
        <v>36</v>
      </c>
      <c r="K29" s="16" t="s">
        <v>5</v>
      </c>
      <c r="L29">
        <v>4</v>
      </c>
    </row>
    <row r="30" spans="1:12" x14ac:dyDescent="0.45">
      <c r="A30" s="16" t="s">
        <v>44</v>
      </c>
      <c r="B30" s="16" t="s">
        <v>18</v>
      </c>
      <c r="C30">
        <v>2018</v>
      </c>
      <c r="D30" s="16" t="s">
        <v>3</v>
      </c>
      <c r="E30" s="16" t="s">
        <v>19</v>
      </c>
      <c r="F30">
        <v>10</v>
      </c>
      <c r="G30">
        <v>950</v>
      </c>
      <c r="H30">
        <v>100</v>
      </c>
      <c r="I30">
        <v>55</v>
      </c>
      <c r="J30">
        <v>72</v>
      </c>
      <c r="K30" s="16" t="s">
        <v>9</v>
      </c>
      <c r="L30">
        <v>1</v>
      </c>
    </row>
    <row r="31" spans="1:12" x14ac:dyDescent="0.45">
      <c r="A31" s="16" t="s">
        <v>45</v>
      </c>
      <c r="B31" s="16" t="s">
        <v>21</v>
      </c>
      <c r="C31">
        <v>2022</v>
      </c>
      <c r="D31" s="16" t="s">
        <v>3</v>
      </c>
      <c r="E31" s="16" t="s">
        <v>4</v>
      </c>
      <c r="F31">
        <v>6</v>
      </c>
      <c r="G31">
        <v>320</v>
      </c>
      <c r="H31">
        <v>90</v>
      </c>
      <c r="I31">
        <v>90</v>
      </c>
      <c r="J31">
        <v>24</v>
      </c>
      <c r="K31" s="16" t="s">
        <v>5</v>
      </c>
      <c r="L31">
        <v>4</v>
      </c>
    </row>
    <row r="32" spans="1:12" x14ac:dyDescent="0.45">
      <c r="A32" s="16" t="s">
        <v>46</v>
      </c>
      <c r="B32" s="16" t="s">
        <v>11</v>
      </c>
      <c r="C32">
        <v>2020</v>
      </c>
      <c r="D32" s="16" t="s">
        <v>12</v>
      </c>
      <c r="E32" s="16" t="s">
        <v>13</v>
      </c>
      <c r="F32">
        <v>7</v>
      </c>
      <c r="G32">
        <v>500</v>
      </c>
      <c r="H32">
        <v>85</v>
      </c>
      <c r="I32">
        <v>87</v>
      </c>
      <c r="J32">
        <v>48</v>
      </c>
      <c r="K32" s="16" t="s">
        <v>5</v>
      </c>
      <c r="L32">
        <v>4</v>
      </c>
    </row>
    <row r="33" spans="1:12" x14ac:dyDescent="0.45">
      <c r="A33" s="16" t="s">
        <v>47</v>
      </c>
      <c r="B33" s="16" t="s">
        <v>2</v>
      </c>
      <c r="C33">
        <v>2021</v>
      </c>
      <c r="D33" s="16" t="s">
        <v>3</v>
      </c>
      <c r="E33" s="16" t="s">
        <v>16</v>
      </c>
      <c r="F33">
        <v>5</v>
      </c>
      <c r="G33">
        <v>430</v>
      </c>
      <c r="H33">
        <v>90</v>
      </c>
      <c r="I33">
        <v>86</v>
      </c>
      <c r="J33">
        <v>36</v>
      </c>
      <c r="K33" s="16" t="s">
        <v>5</v>
      </c>
      <c r="L33">
        <v>4</v>
      </c>
    </row>
    <row r="34" spans="1:12" x14ac:dyDescent="0.45">
      <c r="A34" s="16" t="s">
        <v>48</v>
      </c>
      <c r="B34" s="16" t="s">
        <v>7</v>
      </c>
      <c r="C34">
        <v>2023</v>
      </c>
      <c r="D34" s="16" t="s">
        <v>3</v>
      </c>
      <c r="E34" s="16" t="s">
        <v>4</v>
      </c>
      <c r="F34">
        <v>6</v>
      </c>
      <c r="G34">
        <v>210</v>
      </c>
      <c r="H34">
        <v>85</v>
      </c>
      <c r="I34">
        <v>96</v>
      </c>
      <c r="J34">
        <v>18</v>
      </c>
      <c r="K34" s="16" t="s">
        <v>5</v>
      </c>
      <c r="L34">
        <v>5</v>
      </c>
    </row>
    <row r="35" spans="1:12" x14ac:dyDescent="0.45">
      <c r="A35" s="16" t="s">
        <v>49</v>
      </c>
      <c r="B35" s="16" t="s">
        <v>15</v>
      </c>
      <c r="C35">
        <v>2019</v>
      </c>
      <c r="D35" s="16" t="s">
        <v>3</v>
      </c>
      <c r="E35" s="16" t="s">
        <v>8</v>
      </c>
      <c r="F35">
        <v>7</v>
      </c>
      <c r="G35">
        <v>680</v>
      </c>
      <c r="H35">
        <v>100</v>
      </c>
      <c r="I35">
        <v>72</v>
      </c>
      <c r="J35">
        <v>60</v>
      </c>
      <c r="K35" s="16" t="s">
        <v>9</v>
      </c>
      <c r="L35">
        <v>3</v>
      </c>
    </row>
    <row r="36" spans="1:12" x14ac:dyDescent="0.45">
      <c r="A36" s="16" t="s">
        <v>50</v>
      </c>
      <c r="B36" s="16" t="s">
        <v>18</v>
      </c>
      <c r="C36">
        <v>2020</v>
      </c>
      <c r="D36" s="16" t="s">
        <v>3</v>
      </c>
      <c r="E36" s="16" t="s">
        <v>19</v>
      </c>
      <c r="F36">
        <v>9</v>
      </c>
      <c r="G36">
        <v>780</v>
      </c>
      <c r="H36">
        <v>100</v>
      </c>
      <c r="I36">
        <v>66</v>
      </c>
      <c r="J36">
        <v>48</v>
      </c>
      <c r="K36" s="16" t="s">
        <v>9</v>
      </c>
      <c r="L36">
        <v>2</v>
      </c>
    </row>
    <row r="37" spans="1:12" x14ac:dyDescent="0.45">
      <c r="A37" s="16" t="s">
        <v>51</v>
      </c>
      <c r="B37" s="16" t="s">
        <v>21</v>
      </c>
      <c r="C37">
        <v>2021</v>
      </c>
      <c r="D37" s="16" t="s">
        <v>3</v>
      </c>
      <c r="E37" s="16" t="s">
        <v>4</v>
      </c>
      <c r="F37">
        <v>6</v>
      </c>
      <c r="G37">
        <v>410</v>
      </c>
      <c r="H37">
        <v>95</v>
      </c>
      <c r="I37">
        <v>85</v>
      </c>
      <c r="J37">
        <v>36</v>
      </c>
      <c r="K37" s="16" t="s">
        <v>5</v>
      </c>
      <c r="L37">
        <v>4</v>
      </c>
    </row>
    <row r="38" spans="1:12" x14ac:dyDescent="0.45">
      <c r="A38" s="16" t="s">
        <v>52</v>
      </c>
      <c r="B38" s="16" t="s">
        <v>11</v>
      </c>
      <c r="C38">
        <v>2022</v>
      </c>
      <c r="D38" s="16" t="s">
        <v>12</v>
      </c>
      <c r="E38" s="16" t="s">
        <v>8</v>
      </c>
      <c r="F38">
        <v>8</v>
      </c>
      <c r="G38">
        <v>260</v>
      </c>
      <c r="H38">
        <v>80</v>
      </c>
      <c r="I38">
        <v>93</v>
      </c>
      <c r="J38">
        <v>24</v>
      </c>
      <c r="K38" s="16" t="s">
        <v>5</v>
      </c>
      <c r="L38">
        <v>5</v>
      </c>
    </row>
    <row r="39" spans="1:12" x14ac:dyDescent="0.45">
      <c r="A39" s="16" t="s">
        <v>53</v>
      </c>
      <c r="B39" s="16" t="s">
        <v>2</v>
      </c>
      <c r="C39">
        <v>2018</v>
      </c>
      <c r="D39" s="16" t="s">
        <v>3</v>
      </c>
      <c r="E39" s="16" t="s">
        <v>16</v>
      </c>
      <c r="F39">
        <v>4</v>
      </c>
      <c r="G39">
        <v>870</v>
      </c>
      <c r="H39">
        <v>100</v>
      </c>
      <c r="I39">
        <v>61</v>
      </c>
      <c r="J39">
        <v>72</v>
      </c>
      <c r="K39" s="16" t="s">
        <v>9</v>
      </c>
      <c r="L39">
        <v>2</v>
      </c>
    </row>
    <row r="40" spans="1:12" x14ac:dyDescent="0.45">
      <c r="A40" s="16" t="s">
        <v>54</v>
      </c>
      <c r="B40" s="16" t="s">
        <v>7</v>
      </c>
      <c r="C40">
        <v>2021</v>
      </c>
      <c r="D40" s="16" t="s">
        <v>3</v>
      </c>
      <c r="E40" s="16" t="s">
        <v>4</v>
      </c>
      <c r="F40">
        <v>6</v>
      </c>
      <c r="G40">
        <v>450</v>
      </c>
      <c r="H40">
        <v>90</v>
      </c>
      <c r="I40">
        <v>84</v>
      </c>
      <c r="J40">
        <v>36</v>
      </c>
      <c r="K40" s="16" t="s">
        <v>5</v>
      </c>
      <c r="L40">
        <v>4</v>
      </c>
    </row>
    <row r="41" spans="1:12" x14ac:dyDescent="0.45">
      <c r="A41" s="16" t="s">
        <v>55</v>
      </c>
      <c r="B41" s="16" t="s">
        <v>15</v>
      </c>
      <c r="C41">
        <v>2022</v>
      </c>
      <c r="D41" s="16" t="s">
        <v>3</v>
      </c>
      <c r="E41" s="16" t="s">
        <v>8</v>
      </c>
      <c r="F41">
        <v>8</v>
      </c>
      <c r="G41">
        <v>330</v>
      </c>
      <c r="H41">
        <v>85</v>
      </c>
      <c r="I41">
        <v>91</v>
      </c>
      <c r="J41">
        <v>24</v>
      </c>
      <c r="K41" s="16" t="s">
        <v>5</v>
      </c>
      <c r="L41">
        <v>5</v>
      </c>
    </row>
    <row r="42" spans="1:12" x14ac:dyDescent="0.45">
      <c r="A42" s="16" t="s">
        <v>56</v>
      </c>
      <c r="B42" s="16" t="s">
        <v>18</v>
      </c>
      <c r="C42">
        <v>2019</v>
      </c>
      <c r="D42" s="16" t="s">
        <v>3</v>
      </c>
      <c r="E42" s="16" t="s">
        <v>4</v>
      </c>
      <c r="F42">
        <v>6</v>
      </c>
      <c r="G42">
        <v>640</v>
      </c>
      <c r="H42">
        <v>95</v>
      </c>
      <c r="I42">
        <v>74</v>
      </c>
      <c r="J42">
        <v>60</v>
      </c>
      <c r="K42" s="16" t="s">
        <v>5</v>
      </c>
      <c r="L42">
        <v>3</v>
      </c>
    </row>
    <row r="43" spans="1:12" x14ac:dyDescent="0.45">
      <c r="A43" s="16" t="s">
        <v>57</v>
      </c>
      <c r="B43" s="16" t="s">
        <v>21</v>
      </c>
      <c r="C43">
        <v>2023</v>
      </c>
      <c r="D43" s="16" t="s">
        <v>3</v>
      </c>
      <c r="E43" s="16" t="s">
        <v>16</v>
      </c>
      <c r="F43">
        <v>5</v>
      </c>
      <c r="G43">
        <v>190</v>
      </c>
      <c r="H43">
        <v>90</v>
      </c>
      <c r="I43">
        <v>97</v>
      </c>
      <c r="J43">
        <v>12</v>
      </c>
      <c r="K43" s="16" t="s">
        <v>5</v>
      </c>
      <c r="L43">
        <v>5</v>
      </c>
    </row>
    <row r="44" spans="1:12" x14ac:dyDescent="0.45">
      <c r="A44" s="16" t="s">
        <v>58</v>
      </c>
      <c r="B44" s="16" t="s">
        <v>11</v>
      </c>
      <c r="C44">
        <v>2018</v>
      </c>
      <c r="D44" s="16" t="s">
        <v>12</v>
      </c>
      <c r="E44" s="16" t="s">
        <v>13</v>
      </c>
      <c r="F44">
        <v>7</v>
      </c>
      <c r="G44">
        <v>760</v>
      </c>
      <c r="H44">
        <v>85</v>
      </c>
      <c r="I44">
        <v>78</v>
      </c>
      <c r="J44">
        <v>72</v>
      </c>
      <c r="K44" s="16" t="s">
        <v>5</v>
      </c>
      <c r="L44">
        <v>3</v>
      </c>
    </row>
    <row r="45" spans="1:12" x14ac:dyDescent="0.45">
      <c r="A45" s="16" t="s">
        <v>59</v>
      </c>
      <c r="B45" s="16" t="s">
        <v>2</v>
      </c>
      <c r="C45">
        <v>2020</v>
      </c>
      <c r="D45" s="16" t="s">
        <v>3</v>
      </c>
      <c r="E45" s="16" t="s">
        <v>4</v>
      </c>
      <c r="F45">
        <v>6</v>
      </c>
      <c r="G45">
        <v>560</v>
      </c>
      <c r="H45">
        <v>95</v>
      </c>
      <c r="I45">
        <v>79</v>
      </c>
      <c r="J45">
        <v>48</v>
      </c>
      <c r="K45" s="16" t="s">
        <v>5</v>
      </c>
      <c r="L45">
        <v>3</v>
      </c>
    </row>
    <row r="46" spans="1:12" x14ac:dyDescent="0.45">
      <c r="A46" s="16" t="s">
        <v>60</v>
      </c>
      <c r="B46" s="16" t="s">
        <v>7</v>
      </c>
      <c r="C46">
        <v>2022</v>
      </c>
      <c r="D46" s="16" t="s">
        <v>3</v>
      </c>
      <c r="E46" s="16" t="s">
        <v>8</v>
      </c>
      <c r="F46">
        <v>8</v>
      </c>
      <c r="G46">
        <v>340</v>
      </c>
      <c r="H46">
        <v>90</v>
      </c>
      <c r="I46">
        <v>90</v>
      </c>
      <c r="J46">
        <v>24</v>
      </c>
      <c r="K46" s="16" t="s">
        <v>5</v>
      </c>
      <c r="L46">
        <v>5</v>
      </c>
    </row>
    <row r="47" spans="1:12" x14ac:dyDescent="0.45">
      <c r="A47" s="16" t="s">
        <v>61</v>
      </c>
      <c r="B47" s="16" t="s">
        <v>15</v>
      </c>
      <c r="C47">
        <v>2018</v>
      </c>
      <c r="D47" s="16" t="s">
        <v>3</v>
      </c>
      <c r="E47" s="16" t="s">
        <v>16</v>
      </c>
      <c r="F47">
        <v>5</v>
      </c>
      <c r="G47">
        <v>820</v>
      </c>
      <c r="H47">
        <v>100</v>
      </c>
      <c r="I47">
        <v>63</v>
      </c>
      <c r="J47">
        <v>72</v>
      </c>
      <c r="K47" s="16" t="s">
        <v>9</v>
      </c>
      <c r="L47">
        <v>2</v>
      </c>
    </row>
    <row r="48" spans="1:12" x14ac:dyDescent="0.45">
      <c r="A48" s="16" t="s">
        <v>62</v>
      </c>
      <c r="B48" s="16" t="s">
        <v>18</v>
      </c>
      <c r="C48">
        <v>2021</v>
      </c>
      <c r="D48" s="16" t="s">
        <v>3</v>
      </c>
      <c r="E48" s="16" t="s">
        <v>4</v>
      </c>
      <c r="F48">
        <v>6</v>
      </c>
      <c r="G48">
        <v>470</v>
      </c>
      <c r="H48">
        <v>90</v>
      </c>
      <c r="I48">
        <v>84</v>
      </c>
      <c r="J48">
        <v>36</v>
      </c>
      <c r="K48" s="16" t="s">
        <v>5</v>
      </c>
      <c r="L48">
        <v>4</v>
      </c>
    </row>
    <row r="49" spans="1:12" x14ac:dyDescent="0.45">
      <c r="A49" s="16" t="s">
        <v>63</v>
      </c>
      <c r="B49" s="16" t="s">
        <v>21</v>
      </c>
      <c r="C49">
        <v>2020</v>
      </c>
      <c r="D49" s="16" t="s">
        <v>3</v>
      </c>
      <c r="E49" s="16" t="s">
        <v>19</v>
      </c>
      <c r="F49">
        <v>9</v>
      </c>
      <c r="G49">
        <v>710</v>
      </c>
      <c r="H49">
        <v>100</v>
      </c>
      <c r="I49">
        <v>69</v>
      </c>
      <c r="J49">
        <v>48</v>
      </c>
      <c r="K49" s="16" t="s">
        <v>9</v>
      </c>
      <c r="L49">
        <v>2</v>
      </c>
    </row>
    <row r="50" spans="1:12" x14ac:dyDescent="0.45">
      <c r="A50" s="16" t="s">
        <v>64</v>
      </c>
      <c r="B50" s="16" t="s">
        <v>11</v>
      </c>
      <c r="C50">
        <v>2021</v>
      </c>
      <c r="D50" s="16" t="s">
        <v>12</v>
      </c>
      <c r="E50" s="16" t="s">
        <v>8</v>
      </c>
      <c r="F50">
        <v>7</v>
      </c>
      <c r="G50">
        <v>380</v>
      </c>
      <c r="H50">
        <v>80</v>
      </c>
      <c r="I50">
        <v>92</v>
      </c>
      <c r="J50">
        <v>36</v>
      </c>
      <c r="K50" s="16" t="s">
        <v>5</v>
      </c>
      <c r="L50">
        <v>5</v>
      </c>
    </row>
    <row r="51" spans="1:12" x14ac:dyDescent="0.45">
      <c r="A51" s="16" t="s">
        <v>65</v>
      </c>
      <c r="B51" s="16" t="s">
        <v>2</v>
      </c>
      <c r="C51">
        <v>2023</v>
      </c>
      <c r="D51" s="16" t="s">
        <v>3</v>
      </c>
      <c r="E51" s="16" t="s">
        <v>4</v>
      </c>
      <c r="F51">
        <v>6</v>
      </c>
      <c r="G51">
        <v>200</v>
      </c>
      <c r="H51">
        <v>85</v>
      </c>
      <c r="I51">
        <v>98</v>
      </c>
      <c r="J51">
        <v>12</v>
      </c>
      <c r="K51" s="16" t="s">
        <v>5</v>
      </c>
      <c r="L51">
        <v>5</v>
      </c>
    </row>
  </sheetData>
  <phoneticPr fontId="18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E7FF-FD77-4F2F-A85E-2F960436B705}">
  <dimension ref="A1:L76"/>
  <sheetViews>
    <sheetView tabSelected="1" topLeftCell="G49" zoomScale="115" zoomScaleNormal="115" workbookViewId="0">
      <selection activeCell="L53" sqref="L53"/>
    </sheetView>
  </sheetViews>
  <sheetFormatPr defaultRowHeight="18" x14ac:dyDescent="0.45"/>
  <cols>
    <col min="1" max="1" width="13.69921875" customWidth="1"/>
    <col min="2" max="2" width="12.5" customWidth="1"/>
    <col min="3" max="3" width="18.8984375" customWidth="1"/>
    <col min="4" max="4" width="9.796875" customWidth="1"/>
    <col min="5" max="5" width="22.59765625" customWidth="1"/>
    <col min="6" max="6" width="27.3984375" customWidth="1"/>
    <col min="7" max="7" width="17.09765625" customWidth="1"/>
    <col min="8" max="8" width="18.59765625" customWidth="1"/>
    <col min="9" max="9" width="22.296875" customWidth="1"/>
    <col min="10" max="10" width="26.296875" customWidth="1"/>
    <col min="11" max="11" width="17.69921875" bestFit="1" customWidth="1"/>
    <col min="12" max="12" width="24.5" customWidth="1"/>
  </cols>
  <sheetData>
    <row r="1" spans="1:12" x14ac:dyDescent="0.45">
      <c r="A1" t="s">
        <v>66</v>
      </c>
      <c r="B1" t="s">
        <v>67</v>
      </c>
      <c r="C1" t="s">
        <v>68</v>
      </c>
      <c r="D1" t="s">
        <v>0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</row>
    <row r="2" spans="1:12" x14ac:dyDescent="0.45">
      <c r="A2" t="s">
        <v>1</v>
      </c>
      <c r="B2" t="s">
        <v>2</v>
      </c>
      <c r="C2">
        <v>2021</v>
      </c>
      <c r="D2" t="s">
        <v>3</v>
      </c>
      <c r="E2" t="s">
        <v>4</v>
      </c>
      <c r="F2">
        <v>6</v>
      </c>
      <c r="G2">
        <v>420</v>
      </c>
      <c r="H2">
        <v>90</v>
      </c>
      <c r="I2">
        <v>86</v>
      </c>
      <c r="J2">
        <v>36</v>
      </c>
      <c r="K2" t="s">
        <v>5</v>
      </c>
      <c r="L2">
        <v>4</v>
      </c>
    </row>
    <row r="3" spans="1:12" x14ac:dyDescent="0.45">
      <c r="A3" t="s">
        <v>6</v>
      </c>
      <c r="B3" t="s">
        <v>7</v>
      </c>
      <c r="C3">
        <v>2020</v>
      </c>
      <c r="D3" t="s">
        <v>3</v>
      </c>
      <c r="E3" t="s">
        <v>8</v>
      </c>
      <c r="F3">
        <v>8</v>
      </c>
      <c r="G3">
        <v>610</v>
      </c>
      <c r="H3">
        <v>100</v>
      </c>
      <c r="I3">
        <v>78</v>
      </c>
      <c r="J3">
        <v>48</v>
      </c>
      <c r="K3" t="s">
        <v>9</v>
      </c>
      <c r="L3">
        <v>3</v>
      </c>
    </row>
    <row r="4" spans="1:12" x14ac:dyDescent="0.45">
      <c r="A4" t="s">
        <v>10</v>
      </c>
      <c r="B4" t="s">
        <v>11</v>
      </c>
      <c r="C4">
        <v>2022</v>
      </c>
      <c r="D4" t="s">
        <v>12</v>
      </c>
      <c r="E4" t="s">
        <v>13</v>
      </c>
      <c r="F4">
        <v>7</v>
      </c>
      <c r="G4">
        <v>310</v>
      </c>
      <c r="H4">
        <v>85</v>
      </c>
      <c r="I4">
        <v>92</v>
      </c>
      <c r="J4">
        <v>24</v>
      </c>
      <c r="K4" t="s">
        <v>5</v>
      </c>
      <c r="L4">
        <v>5</v>
      </c>
    </row>
    <row r="5" spans="1:12" x14ac:dyDescent="0.45">
      <c r="A5" t="s">
        <v>14</v>
      </c>
      <c r="B5" t="s">
        <v>15</v>
      </c>
      <c r="C5">
        <v>2019</v>
      </c>
      <c r="D5" t="s">
        <v>3</v>
      </c>
      <c r="E5" t="s">
        <v>16</v>
      </c>
      <c r="F5">
        <v>5</v>
      </c>
      <c r="G5">
        <v>700</v>
      </c>
      <c r="H5">
        <v>100</v>
      </c>
      <c r="I5">
        <v>70</v>
      </c>
      <c r="J5">
        <v>60</v>
      </c>
      <c r="K5" t="s">
        <v>9</v>
      </c>
      <c r="L5">
        <v>3</v>
      </c>
    </row>
    <row r="6" spans="1:12" x14ac:dyDescent="0.45">
      <c r="A6" t="s">
        <v>17</v>
      </c>
      <c r="B6" t="s">
        <v>18</v>
      </c>
      <c r="C6">
        <v>2021</v>
      </c>
      <c r="D6" t="s">
        <v>3</v>
      </c>
      <c r="E6" t="s">
        <v>19</v>
      </c>
      <c r="F6">
        <v>9</v>
      </c>
      <c r="G6">
        <v>820</v>
      </c>
      <c r="H6">
        <v>100</v>
      </c>
      <c r="I6">
        <v>65</v>
      </c>
      <c r="J6">
        <v>40</v>
      </c>
      <c r="K6" t="s">
        <v>9</v>
      </c>
      <c r="L6">
        <v>2</v>
      </c>
    </row>
    <row r="7" spans="1:12" x14ac:dyDescent="0.45">
      <c r="A7" t="s">
        <v>20</v>
      </c>
      <c r="B7" t="s">
        <v>21</v>
      </c>
      <c r="C7">
        <v>2020</v>
      </c>
      <c r="D7" t="s">
        <v>3</v>
      </c>
      <c r="E7" t="s">
        <v>4</v>
      </c>
      <c r="F7">
        <v>6</v>
      </c>
      <c r="G7">
        <v>540</v>
      </c>
      <c r="H7">
        <v>95</v>
      </c>
      <c r="I7">
        <v>80</v>
      </c>
      <c r="J7">
        <v>50</v>
      </c>
      <c r="K7" t="s">
        <v>5</v>
      </c>
      <c r="L7">
        <v>4</v>
      </c>
    </row>
    <row r="8" spans="1:12" x14ac:dyDescent="0.45">
      <c r="A8" t="s">
        <v>22</v>
      </c>
      <c r="B8" t="s">
        <v>11</v>
      </c>
      <c r="C8">
        <v>2023</v>
      </c>
      <c r="D8" t="s">
        <v>12</v>
      </c>
      <c r="E8" t="s">
        <v>8</v>
      </c>
      <c r="F8">
        <v>8</v>
      </c>
      <c r="G8">
        <v>210</v>
      </c>
      <c r="H8">
        <v>80</v>
      </c>
      <c r="I8">
        <v>95</v>
      </c>
      <c r="J8">
        <v>18</v>
      </c>
      <c r="K8" t="s">
        <v>5</v>
      </c>
      <c r="L8">
        <v>5</v>
      </c>
    </row>
    <row r="9" spans="1:12" x14ac:dyDescent="0.45">
      <c r="A9" t="s">
        <v>23</v>
      </c>
      <c r="B9" t="s">
        <v>2</v>
      </c>
      <c r="C9">
        <v>2018</v>
      </c>
      <c r="D9" t="s">
        <v>3</v>
      </c>
      <c r="E9" t="s">
        <v>16</v>
      </c>
      <c r="F9">
        <v>4</v>
      </c>
      <c r="G9">
        <v>880</v>
      </c>
      <c r="H9">
        <v>100</v>
      </c>
      <c r="I9">
        <v>60</v>
      </c>
      <c r="J9">
        <v>72</v>
      </c>
      <c r="K9" t="s">
        <v>9</v>
      </c>
      <c r="L9">
        <v>2</v>
      </c>
    </row>
    <row r="10" spans="1:12" x14ac:dyDescent="0.45">
      <c r="A10" t="s">
        <v>24</v>
      </c>
      <c r="B10" t="s">
        <v>7</v>
      </c>
      <c r="C10">
        <v>2022</v>
      </c>
      <c r="D10" t="s">
        <v>3</v>
      </c>
      <c r="E10" t="s">
        <v>4</v>
      </c>
      <c r="F10">
        <v>6</v>
      </c>
      <c r="G10">
        <v>350</v>
      </c>
      <c r="H10">
        <v>90</v>
      </c>
      <c r="I10">
        <v>88</v>
      </c>
      <c r="J10">
        <v>30</v>
      </c>
      <c r="K10" t="s">
        <v>5</v>
      </c>
      <c r="L10">
        <v>4</v>
      </c>
    </row>
    <row r="11" spans="1:12" x14ac:dyDescent="0.45">
      <c r="A11" t="s">
        <v>25</v>
      </c>
      <c r="B11" t="s">
        <v>15</v>
      </c>
      <c r="C11">
        <v>2021</v>
      </c>
      <c r="D11" t="s">
        <v>3</v>
      </c>
      <c r="E11" t="s">
        <v>8</v>
      </c>
      <c r="F11">
        <v>7</v>
      </c>
      <c r="G11">
        <v>480</v>
      </c>
      <c r="H11">
        <v>85</v>
      </c>
      <c r="I11">
        <v>83</v>
      </c>
      <c r="J11">
        <v>36</v>
      </c>
      <c r="K11" t="s">
        <v>5</v>
      </c>
      <c r="L11">
        <v>4</v>
      </c>
    </row>
    <row r="12" spans="1:12" x14ac:dyDescent="0.45">
      <c r="A12" t="s">
        <v>26</v>
      </c>
      <c r="B12" t="s">
        <v>18</v>
      </c>
      <c r="C12">
        <v>2020</v>
      </c>
      <c r="D12" t="s">
        <v>3</v>
      </c>
      <c r="E12" t="s">
        <v>19</v>
      </c>
      <c r="F12">
        <v>10</v>
      </c>
      <c r="G12">
        <v>900</v>
      </c>
      <c r="H12">
        <v>100</v>
      </c>
      <c r="I12">
        <v>58</v>
      </c>
      <c r="J12">
        <v>54</v>
      </c>
      <c r="K12" t="s">
        <v>9</v>
      </c>
      <c r="L12">
        <v>2</v>
      </c>
    </row>
    <row r="13" spans="1:12" x14ac:dyDescent="0.45">
      <c r="A13" t="s">
        <v>27</v>
      </c>
      <c r="B13" t="s">
        <v>21</v>
      </c>
      <c r="C13">
        <v>2019</v>
      </c>
      <c r="D13" t="s">
        <v>3</v>
      </c>
      <c r="E13" t="s">
        <v>4</v>
      </c>
      <c r="F13">
        <v>5</v>
      </c>
      <c r="G13">
        <v>620</v>
      </c>
      <c r="H13">
        <v>95</v>
      </c>
      <c r="I13">
        <v>75</v>
      </c>
      <c r="J13">
        <v>60</v>
      </c>
      <c r="K13" t="s">
        <v>5</v>
      </c>
      <c r="L13">
        <v>3</v>
      </c>
    </row>
    <row r="14" spans="1:12" x14ac:dyDescent="0.45">
      <c r="A14" t="s">
        <v>28</v>
      </c>
      <c r="B14" t="s">
        <v>11</v>
      </c>
      <c r="C14">
        <v>2021</v>
      </c>
      <c r="D14" t="s">
        <v>12</v>
      </c>
      <c r="E14" t="s">
        <v>13</v>
      </c>
      <c r="F14">
        <v>6</v>
      </c>
      <c r="G14">
        <v>400</v>
      </c>
      <c r="H14">
        <v>80</v>
      </c>
      <c r="I14">
        <v>90</v>
      </c>
      <c r="J14">
        <v>42</v>
      </c>
      <c r="K14" t="s">
        <v>5</v>
      </c>
      <c r="L14">
        <v>5</v>
      </c>
    </row>
    <row r="15" spans="1:12" x14ac:dyDescent="0.45">
      <c r="A15" t="s">
        <v>29</v>
      </c>
      <c r="B15" t="s">
        <v>2</v>
      </c>
      <c r="C15">
        <v>2022</v>
      </c>
      <c r="D15" t="s">
        <v>3</v>
      </c>
      <c r="E15" t="s">
        <v>16</v>
      </c>
      <c r="F15">
        <v>5</v>
      </c>
      <c r="G15">
        <v>300</v>
      </c>
      <c r="H15">
        <v>90</v>
      </c>
      <c r="I15">
        <v>91</v>
      </c>
      <c r="J15">
        <v>24</v>
      </c>
      <c r="K15" t="s">
        <v>5</v>
      </c>
      <c r="L15">
        <v>5</v>
      </c>
    </row>
    <row r="16" spans="1:12" x14ac:dyDescent="0.45">
      <c r="A16" t="s">
        <v>30</v>
      </c>
      <c r="B16" t="s">
        <v>7</v>
      </c>
      <c r="C16">
        <v>2018</v>
      </c>
      <c r="D16" t="s">
        <v>3</v>
      </c>
      <c r="E16" t="s">
        <v>4</v>
      </c>
      <c r="F16">
        <v>6</v>
      </c>
      <c r="G16">
        <v>850</v>
      </c>
      <c r="H16">
        <v>100</v>
      </c>
      <c r="I16">
        <v>62</v>
      </c>
      <c r="J16">
        <v>72</v>
      </c>
      <c r="K16" t="s">
        <v>9</v>
      </c>
      <c r="L16">
        <v>2</v>
      </c>
    </row>
    <row r="17" spans="1:12" x14ac:dyDescent="0.45">
      <c r="A17" t="s">
        <v>31</v>
      </c>
      <c r="B17" t="s">
        <v>15</v>
      </c>
      <c r="C17">
        <v>2023</v>
      </c>
      <c r="D17" t="s">
        <v>3</v>
      </c>
      <c r="E17" t="s">
        <v>8</v>
      </c>
      <c r="F17">
        <v>8</v>
      </c>
      <c r="G17">
        <v>220</v>
      </c>
      <c r="H17">
        <v>85</v>
      </c>
      <c r="I17">
        <v>94</v>
      </c>
      <c r="J17">
        <v>18</v>
      </c>
      <c r="K17" t="s">
        <v>5</v>
      </c>
      <c r="L17">
        <v>5</v>
      </c>
    </row>
    <row r="18" spans="1:12" x14ac:dyDescent="0.45">
      <c r="A18" t="s">
        <v>32</v>
      </c>
      <c r="B18" t="s">
        <v>18</v>
      </c>
      <c r="C18">
        <v>2021</v>
      </c>
      <c r="D18" t="s">
        <v>3</v>
      </c>
      <c r="E18" t="s">
        <v>4</v>
      </c>
      <c r="F18">
        <v>6</v>
      </c>
      <c r="G18">
        <v>450</v>
      </c>
      <c r="H18">
        <v>90</v>
      </c>
      <c r="I18">
        <v>85</v>
      </c>
      <c r="J18">
        <v>36</v>
      </c>
      <c r="K18" t="s">
        <v>5</v>
      </c>
      <c r="L18">
        <v>4</v>
      </c>
    </row>
    <row r="19" spans="1:12" x14ac:dyDescent="0.45">
      <c r="A19" t="s">
        <v>33</v>
      </c>
      <c r="B19" t="s">
        <v>21</v>
      </c>
      <c r="C19">
        <v>2020</v>
      </c>
      <c r="D19" t="s">
        <v>3</v>
      </c>
      <c r="E19" t="s">
        <v>16</v>
      </c>
      <c r="F19">
        <v>4</v>
      </c>
      <c r="G19">
        <v>560</v>
      </c>
      <c r="H19">
        <v>95</v>
      </c>
      <c r="I19">
        <v>79</v>
      </c>
      <c r="J19">
        <v>48</v>
      </c>
      <c r="K19" t="s">
        <v>5</v>
      </c>
      <c r="L19">
        <v>3</v>
      </c>
    </row>
    <row r="20" spans="1:12" x14ac:dyDescent="0.45">
      <c r="A20" t="s">
        <v>34</v>
      </c>
      <c r="B20" t="s">
        <v>11</v>
      </c>
      <c r="C20">
        <v>2019</v>
      </c>
      <c r="D20" t="s">
        <v>12</v>
      </c>
      <c r="E20" t="s">
        <v>13</v>
      </c>
      <c r="F20">
        <v>7</v>
      </c>
      <c r="G20">
        <v>680</v>
      </c>
      <c r="H20">
        <v>85</v>
      </c>
      <c r="I20">
        <v>82</v>
      </c>
      <c r="J20">
        <v>60</v>
      </c>
      <c r="K20" t="s">
        <v>5</v>
      </c>
      <c r="L20">
        <v>4</v>
      </c>
    </row>
    <row r="21" spans="1:12" x14ac:dyDescent="0.45">
      <c r="A21" t="s">
        <v>35</v>
      </c>
      <c r="B21" t="s">
        <v>2</v>
      </c>
      <c r="C21">
        <v>2022</v>
      </c>
      <c r="D21" t="s">
        <v>3</v>
      </c>
      <c r="E21" t="s">
        <v>4</v>
      </c>
      <c r="F21">
        <v>6</v>
      </c>
      <c r="G21">
        <v>310</v>
      </c>
      <c r="H21">
        <v>90</v>
      </c>
      <c r="I21">
        <v>89</v>
      </c>
      <c r="J21">
        <v>24</v>
      </c>
      <c r="K21" t="s">
        <v>5</v>
      </c>
      <c r="L21">
        <v>4</v>
      </c>
    </row>
    <row r="22" spans="1:12" x14ac:dyDescent="0.45">
      <c r="A22" t="s">
        <v>36</v>
      </c>
      <c r="B22" t="s">
        <v>7</v>
      </c>
      <c r="C22">
        <v>2021</v>
      </c>
      <c r="D22" t="s">
        <v>3</v>
      </c>
      <c r="E22" t="s">
        <v>8</v>
      </c>
      <c r="F22">
        <v>8</v>
      </c>
      <c r="G22">
        <v>490</v>
      </c>
      <c r="H22">
        <v>100</v>
      </c>
      <c r="I22">
        <v>81</v>
      </c>
      <c r="J22">
        <v>36</v>
      </c>
      <c r="K22" t="s">
        <v>5</v>
      </c>
      <c r="L22">
        <v>4</v>
      </c>
    </row>
    <row r="23" spans="1:12" x14ac:dyDescent="0.45">
      <c r="A23" t="s">
        <v>37</v>
      </c>
      <c r="B23" t="s">
        <v>15</v>
      </c>
      <c r="C23">
        <v>2020</v>
      </c>
      <c r="D23" t="s">
        <v>3</v>
      </c>
      <c r="E23" t="s">
        <v>16</v>
      </c>
      <c r="F23">
        <v>5</v>
      </c>
      <c r="G23">
        <v>600</v>
      </c>
      <c r="H23">
        <v>95</v>
      </c>
      <c r="I23">
        <v>76</v>
      </c>
      <c r="J23">
        <v>48</v>
      </c>
      <c r="K23" t="s">
        <v>5</v>
      </c>
      <c r="L23">
        <v>3</v>
      </c>
    </row>
    <row r="24" spans="1:12" x14ac:dyDescent="0.45">
      <c r="A24" t="s">
        <v>38</v>
      </c>
      <c r="B24" t="s">
        <v>18</v>
      </c>
      <c r="C24">
        <v>2022</v>
      </c>
      <c r="D24" t="s">
        <v>3</v>
      </c>
      <c r="E24" t="s">
        <v>19</v>
      </c>
      <c r="F24">
        <v>9</v>
      </c>
      <c r="G24">
        <v>520</v>
      </c>
      <c r="H24">
        <v>100</v>
      </c>
      <c r="I24">
        <v>74</v>
      </c>
      <c r="J24">
        <v>30</v>
      </c>
      <c r="K24" t="s">
        <v>9</v>
      </c>
      <c r="L24">
        <v>3</v>
      </c>
    </row>
    <row r="25" spans="1:12" x14ac:dyDescent="0.45">
      <c r="A25" t="s">
        <v>39</v>
      </c>
      <c r="B25" t="s">
        <v>21</v>
      </c>
      <c r="C25">
        <v>2018</v>
      </c>
      <c r="D25" t="s">
        <v>3</v>
      </c>
      <c r="E25" t="s">
        <v>4</v>
      </c>
      <c r="F25">
        <v>6</v>
      </c>
      <c r="G25">
        <v>900</v>
      </c>
      <c r="H25">
        <v>100</v>
      </c>
      <c r="I25">
        <v>59</v>
      </c>
      <c r="J25">
        <v>72</v>
      </c>
      <c r="K25" t="s">
        <v>9</v>
      </c>
      <c r="L25">
        <v>2</v>
      </c>
    </row>
    <row r="26" spans="1:12" x14ac:dyDescent="0.45">
      <c r="A26" t="s">
        <v>40</v>
      </c>
      <c r="B26" t="s">
        <v>11</v>
      </c>
      <c r="C26">
        <v>2023</v>
      </c>
      <c r="D26" t="s">
        <v>12</v>
      </c>
      <c r="E26" t="s">
        <v>8</v>
      </c>
      <c r="F26">
        <v>7</v>
      </c>
      <c r="G26">
        <v>180</v>
      </c>
      <c r="H26">
        <v>80</v>
      </c>
      <c r="I26">
        <v>97</v>
      </c>
      <c r="J26">
        <v>12</v>
      </c>
      <c r="K26" t="s">
        <v>5</v>
      </c>
      <c r="L26">
        <v>5</v>
      </c>
    </row>
    <row r="27" spans="1:12" x14ac:dyDescent="0.45">
      <c r="A27" t="s">
        <v>41</v>
      </c>
      <c r="B27" t="s">
        <v>2</v>
      </c>
      <c r="C27">
        <v>2020</v>
      </c>
      <c r="D27" t="s">
        <v>3</v>
      </c>
      <c r="E27" t="s">
        <v>4</v>
      </c>
      <c r="F27">
        <v>6</v>
      </c>
      <c r="G27">
        <v>570</v>
      </c>
      <c r="H27">
        <v>95</v>
      </c>
      <c r="I27">
        <v>77</v>
      </c>
      <c r="J27">
        <v>48</v>
      </c>
      <c r="K27" t="s">
        <v>5</v>
      </c>
      <c r="L27">
        <v>3</v>
      </c>
    </row>
    <row r="28" spans="1:12" x14ac:dyDescent="0.45">
      <c r="A28" t="s">
        <v>42</v>
      </c>
      <c r="B28" t="s">
        <v>7</v>
      </c>
      <c r="C28">
        <v>2019</v>
      </c>
      <c r="D28" t="s">
        <v>3</v>
      </c>
      <c r="E28" t="s">
        <v>16</v>
      </c>
      <c r="F28">
        <v>5</v>
      </c>
      <c r="G28">
        <v>730</v>
      </c>
      <c r="H28">
        <v>100</v>
      </c>
      <c r="I28">
        <v>68</v>
      </c>
      <c r="J28">
        <v>60</v>
      </c>
      <c r="K28" t="s">
        <v>9</v>
      </c>
      <c r="L28">
        <v>2</v>
      </c>
    </row>
    <row r="29" spans="1:12" x14ac:dyDescent="0.45">
      <c r="A29" t="s">
        <v>43</v>
      </c>
      <c r="B29" t="s">
        <v>15</v>
      </c>
      <c r="C29">
        <v>2021</v>
      </c>
      <c r="D29" t="s">
        <v>3</v>
      </c>
      <c r="E29" t="s">
        <v>8</v>
      </c>
      <c r="F29">
        <v>8</v>
      </c>
      <c r="G29">
        <v>460</v>
      </c>
      <c r="H29">
        <v>90</v>
      </c>
      <c r="I29">
        <v>84</v>
      </c>
      <c r="J29">
        <v>36</v>
      </c>
      <c r="K29" t="s">
        <v>5</v>
      </c>
      <c r="L29">
        <v>4</v>
      </c>
    </row>
    <row r="30" spans="1:12" x14ac:dyDescent="0.45">
      <c r="A30" t="s">
        <v>44</v>
      </c>
      <c r="B30" t="s">
        <v>18</v>
      </c>
      <c r="C30">
        <v>2018</v>
      </c>
      <c r="D30" t="s">
        <v>3</v>
      </c>
      <c r="E30" t="s">
        <v>19</v>
      </c>
      <c r="F30">
        <v>10</v>
      </c>
      <c r="G30">
        <v>950</v>
      </c>
      <c r="H30">
        <v>100</v>
      </c>
      <c r="I30">
        <v>55</v>
      </c>
      <c r="J30">
        <v>72</v>
      </c>
      <c r="K30" t="s">
        <v>9</v>
      </c>
      <c r="L30">
        <v>1</v>
      </c>
    </row>
    <row r="31" spans="1:12" x14ac:dyDescent="0.45">
      <c r="A31" t="s">
        <v>45</v>
      </c>
      <c r="B31" t="s">
        <v>21</v>
      </c>
      <c r="C31">
        <v>2022</v>
      </c>
      <c r="D31" t="s">
        <v>3</v>
      </c>
      <c r="E31" t="s">
        <v>4</v>
      </c>
      <c r="F31">
        <v>6</v>
      </c>
      <c r="G31">
        <v>320</v>
      </c>
      <c r="H31">
        <v>90</v>
      </c>
      <c r="I31">
        <v>90</v>
      </c>
      <c r="J31">
        <v>24</v>
      </c>
      <c r="K31" t="s">
        <v>5</v>
      </c>
      <c r="L31">
        <v>4</v>
      </c>
    </row>
    <row r="32" spans="1:12" x14ac:dyDescent="0.45">
      <c r="A32" t="s">
        <v>46</v>
      </c>
      <c r="B32" t="s">
        <v>11</v>
      </c>
      <c r="C32">
        <v>2020</v>
      </c>
      <c r="D32" t="s">
        <v>12</v>
      </c>
      <c r="E32" t="s">
        <v>13</v>
      </c>
      <c r="F32">
        <v>7</v>
      </c>
      <c r="G32">
        <v>500</v>
      </c>
      <c r="H32">
        <v>85</v>
      </c>
      <c r="I32">
        <v>87</v>
      </c>
      <c r="J32">
        <v>48</v>
      </c>
      <c r="K32" t="s">
        <v>5</v>
      </c>
      <c r="L32">
        <v>4</v>
      </c>
    </row>
    <row r="33" spans="1:12" x14ac:dyDescent="0.45">
      <c r="A33" t="s">
        <v>47</v>
      </c>
      <c r="B33" t="s">
        <v>2</v>
      </c>
      <c r="C33">
        <v>2021</v>
      </c>
      <c r="D33" t="s">
        <v>3</v>
      </c>
      <c r="E33" t="s">
        <v>16</v>
      </c>
      <c r="F33">
        <v>5</v>
      </c>
      <c r="G33">
        <v>430</v>
      </c>
      <c r="H33">
        <v>90</v>
      </c>
      <c r="I33">
        <v>86</v>
      </c>
      <c r="J33">
        <v>36</v>
      </c>
      <c r="K33" t="s">
        <v>5</v>
      </c>
      <c r="L33">
        <v>4</v>
      </c>
    </row>
    <row r="34" spans="1:12" x14ac:dyDescent="0.45">
      <c r="A34" t="s">
        <v>48</v>
      </c>
      <c r="B34" t="s">
        <v>7</v>
      </c>
      <c r="C34">
        <v>2023</v>
      </c>
      <c r="D34" t="s">
        <v>3</v>
      </c>
      <c r="E34" t="s">
        <v>4</v>
      </c>
      <c r="F34">
        <v>6</v>
      </c>
      <c r="G34">
        <v>210</v>
      </c>
      <c r="H34">
        <v>85</v>
      </c>
      <c r="I34">
        <v>96</v>
      </c>
      <c r="J34">
        <v>18</v>
      </c>
      <c r="K34" t="s">
        <v>5</v>
      </c>
      <c r="L34">
        <v>5</v>
      </c>
    </row>
    <row r="35" spans="1:12" x14ac:dyDescent="0.45">
      <c r="A35" t="s">
        <v>49</v>
      </c>
      <c r="B35" t="s">
        <v>15</v>
      </c>
      <c r="C35">
        <v>2019</v>
      </c>
      <c r="D35" t="s">
        <v>3</v>
      </c>
      <c r="E35" t="s">
        <v>8</v>
      </c>
      <c r="F35">
        <v>7</v>
      </c>
      <c r="G35">
        <v>680</v>
      </c>
      <c r="H35">
        <v>100</v>
      </c>
      <c r="I35">
        <v>72</v>
      </c>
      <c r="J35">
        <v>60</v>
      </c>
      <c r="K35" t="s">
        <v>9</v>
      </c>
      <c r="L35">
        <v>3</v>
      </c>
    </row>
    <row r="36" spans="1:12" x14ac:dyDescent="0.45">
      <c r="A36" t="s">
        <v>50</v>
      </c>
      <c r="B36" t="s">
        <v>18</v>
      </c>
      <c r="C36">
        <v>2020</v>
      </c>
      <c r="D36" t="s">
        <v>3</v>
      </c>
      <c r="E36" t="s">
        <v>19</v>
      </c>
      <c r="F36">
        <v>9</v>
      </c>
      <c r="G36">
        <v>780</v>
      </c>
      <c r="H36">
        <v>100</v>
      </c>
      <c r="I36">
        <v>66</v>
      </c>
      <c r="J36">
        <v>48</v>
      </c>
      <c r="K36" t="s">
        <v>9</v>
      </c>
      <c r="L36">
        <v>2</v>
      </c>
    </row>
    <row r="37" spans="1:12" x14ac:dyDescent="0.45">
      <c r="A37" t="s">
        <v>51</v>
      </c>
      <c r="B37" t="s">
        <v>21</v>
      </c>
      <c r="C37">
        <v>2021</v>
      </c>
      <c r="D37" t="s">
        <v>3</v>
      </c>
      <c r="E37" t="s">
        <v>4</v>
      </c>
      <c r="F37">
        <v>6</v>
      </c>
      <c r="G37">
        <v>410</v>
      </c>
      <c r="H37">
        <v>95</v>
      </c>
      <c r="I37">
        <v>85</v>
      </c>
      <c r="J37">
        <v>36</v>
      </c>
      <c r="K37" t="s">
        <v>5</v>
      </c>
      <c r="L37">
        <v>4</v>
      </c>
    </row>
    <row r="38" spans="1:12" x14ac:dyDescent="0.45">
      <c r="A38" t="s">
        <v>52</v>
      </c>
      <c r="B38" t="s">
        <v>11</v>
      </c>
      <c r="C38">
        <v>2022</v>
      </c>
      <c r="D38" t="s">
        <v>12</v>
      </c>
      <c r="E38" t="s">
        <v>8</v>
      </c>
      <c r="F38">
        <v>8</v>
      </c>
      <c r="G38">
        <v>260</v>
      </c>
      <c r="H38">
        <v>80</v>
      </c>
      <c r="I38">
        <v>93</v>
      </c>
      <c r="J38">
        <v>24</v>
      </c>
      <c r="K38" t="s">
        <v>5</v>
      </c>
      <c r="L38">
        <v>5</v>
      </c>
    </row>
    <row r="39" spans="1:12" x14ac:dyDescent="0.45">
      <c r="A39" t="s">
        <v>53</v>
      </c>
      <c r="B39" t="s">
        <v>2</v>
      </c>
      <c r="C39">
        <v>2018</v>
      </c>
      <c r="D39" t="s">
        <v>3</v>
      </c>
      <c r="E39" t="s">
        <v>16</v>
      </c>
      <c r="F39">
        <v>4</v>
      </c>
      <c r="G39">
        <v>870</v>
      </c>
      <c r="H39">
        <v>100</v>
      </c>
      <c r="I39">
        <v>61</v>
      </c>
      <c r="J39">
        <v>72</v>
      </c>
      <c r="K39" t="s">
        <v>9</v>
      </c>
      <c r="L39">
        <v>2</v>
      </c>
    </row>
    <row r="40" spans="1:12" x14ac:dyDescent="0.45">
      <c r="A40" t="s">
        <v>54</v>
      </c>
      <c r="B40" t="s">
        <v>7</v>
      </c>
      <c r="C40">
        <v>2021</v>
      </c>
      <c r="D40" t="s">
        <v>3</v>
      </c>
      <c r="E40" t="s">
        <v>4</v>
      </c>
      <c r="F40">
        <v>6</v>
      </c>
      <c r="G40">
        <v>450</v>
      </c>
      <c r="H40">
        <v>90</v>
      </c>
      <c r="I40">
        <v>84</v>
      </c>
      <c r="J40">
        <v>36</v>
      </c>
      <c r="K40" t="s">
        <v>5</v>
      </c>
      <c r="L40">
        <v>4</v>
      </c>
    </row>
    <row r="41" spans="1:12" x14ac:dyDescent="0.45">
      <c r="A41" t="s">
        <v>55</v>
      </c>
      <c r="B41" t="s">
        <v>15</v>
      </c>
      <c r="C41">
        <v>2022</v>
      </c>
      <c r="D41" t="s">
        <v>3</v>
      </c>
      <c r="E41" t="s">
        <v>8</v>
      </c>
      <c r="F41">
        <v>8</v>
      </c>
      <c r="G41">
        <v>330</v>
      </c>
      <c r="H41">
        <v>85</v>
      </c>
      <c r="I41">
        <v>91</v>
      </c>
      <c r="J41">
        <v>24</v>
      </c>
      <c r="K41" t="s">
        <v>5</v>
      </c>
      <c r="L41">
        <v>5</v>
      </c>
    </row>
    <row r="42" spans="1:12" x14ac:dyDescent="0.45">
      <c r="A42" t="s">
        <v>56</v>
      </c>
      <c r="B42" t="s">
        <v>18</v>
      </c>
      <c r="C42">
        <v>2019</v>
      </c>
      <c r="D42" t="s">
        <v>3</v>
      </c>
      <c r="E42" t="s">
        <v>4</v>
      </c>
      <c r="F42">
        <v>6</v>
      </c>
      <c r="G42">
        <v>640</v>
      </c>
      <c r="H42">
        <v>95</v>
      </c>
      <c r="I42">
        <v>74</v>
      </c>
      <c r="J42">
        <v>60</v>
      </c>
      <c r="K42" t="s">
        <v>5</v>
      </c>
      <c r="L42">
        <v>3</v>
      </c>
    </row>
    <row r="43" spans="1:12" x14ac:dyDescent="0.45">
      <c r="A43" t="s">
        <v>57</v>
      </c>
      <c r="B43" t="s">
        <v>21</v>
      </c>
      <c r="C43">
        <v>2023</v>
      </c>
      <c r="D43" t="s">
        <v>3</v>
      </c>
      <c r="E43" t="s">
        <v>16</v>
      </c>
      <c r="F43">
        <v>5</v>
      </c>
      <c r="G43">
        <v>190</v>
      </c>
      <c r="H43">
        <v>90</v>
      </c>
      <c r="I43">
        <v>97</v>
      </c>
      <c r="J43">
        <v>12</v>
      </c>
      <c r="K43" t="s">
        <v>5</v>
      </c>
      <c r="L43">
        <v>5</v>
      </c>
    </row>
    <row r="44" spans="1:12" x14ac:dyDescent="0.45">
      <c r="A44" t="s">
        <v>58</v>
      </c>
      <c r="B44" t="s">
        <v>11</v>
      </c>
      <c r="C44">
        <v>2018</v>
      </c>
      <c r="D44" t="s">
        <v>12</v>
      </c>
      <c r="E44" t="s">
        <v>13</v>
      </c>
      <c r="F44">
        <v>7</v>
      </c>
      <c r="G44">
        <v>760</v>
      </c>
      <c r="H44">
        <v>85</v>
      </c>
      <c r="I44">
        <v>78</v>
      </c>
      <c r="J44">
        <v>72</v>
      </c>
      <c r="K44" t="s">
        <v>5</v>
      </c>
      <c r="L44">
        <v>3</v>
      </c>
    </row>
    <row r="45" spans="1:12" x14ac:dyDescent="0.45">
      <c r="A45" t="s">
        <v>59</v>
      </c>
      <c r="B45" t="s">
        <v>2</v>
      </c>
      <c r="C45">
        <v>2020</v>
      </c>
      <c r="D45" t="s">
        <v>3</v>
      </c>
      <c r="E45" t="s">
        <v>4</v>
      </c>
      <c r="F45">
        <v>6</v>
      </c>
      <c r="G45">
        <v>560</v>
      </c>
      <c r="H45">
        <v>95</v>
      </c>
      <c r="I45">
        <v>79</v>
      </c>
      <c r="J45">
        <v>48</v>
      </c>
      <c r="K45" t="s">
        <v>5</v>
      </c>
      <c r="L45">
        <v>3</v>
      </c>
    </row>
    <row r="46" spans="1:12" x14ac:dyDescent="0.45">
      <c r="A46" t="s">
        <v>60</v>
      </c>
      <c r="B46" t="s">
        <v>7</v>
      </c>
      <c r="C46">
        <v>2022</v>
      </c>
      <c r="D46" t="s">
        <v>3</v>
      </c>
      <c r="E46" t="s">
        <v>8</v>
      </c>
      <c r="F46">
        <v>8</v>
      </c>
      <c r="G46">
        <v>340</v>
      </c>
      <c r="H46">
        <v>90</v>
      </c>
      <c r="I46">
        <v>90</v>
      </c>
      <c r="J46">
        <v>24</v>
      </c>
      <c r="K46" t="s">
        <v>5</v>
      </c>
      <c r="L46">
        <v>5</v>
      </c>
    </row>
    <row r="47" spans="1:12" x14ac:dyDescent="0.45">
      <c r="A47" t="s">
        <v>61</v>
      </c>
      <c r="B47" t="s">
        <v>15</v>
      </c>
      <c r="C47">
        <v>2018</v>
      </c>
      <c r="D47" t="s">
        <v>3</v>
      </c>
      <c r="E47" t="s">
        <v>16</v>
      </c>
      <c r="F47">
        <v>5</v>
      </c>
      <c r="G47">
        <v>820</v>
      </c>
      <c r="H47">
        <v>100</v>
      </c>
      <c r="I47">
        <v>63</v>
      </c>
      <c r="J47">
        <v>72</v>
      </c>
      <c r="K47" t="s">
        <v>9</v>
      </c>
      <c r="L47">
        <v>2</v>
      </c>
    </row>
    <row r="48" spans="1:12" x14ac:dyDescent="0.45">
      <c r="A48" t="s">
        <v>62</v>
      </c>
      <c r="B48" t="s">
        <v>18</v>
      </c>
      <c r="C48">
        <v>2021</v>
      </c>
      <c r="D48" t="s">
        <v>3</v>
      </c>
      <c r="E48" t="s">
        <v>4</v>
      </c>
      <c r="F48">
        <v>6</v>
      </c>
      <c r="G48">
        <v>470</v>
      </c>
      <c r="H48">
        <v>90</v>
      </c>
      <c r="I48">
        <v>84</v>
      </c>
      <c r="J48">
        <v>36</v>
      </c>
      <c r="K48" t="s">
        <v>5</v>
      </c>
      <c r="L48">
        <v>4</v>
      </c>
    </row>
    <row r="49" spans="1:12" x14ac:dyDescent="0.45">
      <c r="A49" t="s">
        <v>63</v>
      </c>
      <c r="B49" t="s">
        <v>21</v>
      </c>
      <c r="C49">
        <v>2020</v>
      </c>
      <c r="D49" t="s">
        <v>3</v>
      </c>
      <c r="E49" t="s">
        <v>19</v>
      </c>
      <c r="F49">
        <v>9</v>
      </c>
      <c r="G49">
        <v>710</v>
      </c>
      <c r="H49">
        <v>100</v>
      </c>
      <c r="I49">
        <v>69</v>
      </c>
      <c r="J49">
        <v>48</v>
      </c>
      <c r="K49" t="s">
        <v>9</v>
      </c>
      <c r="L49">
        <v>2</v>
      </c>
    </row>
    <row r="50" spans="1:12" x14ac:dyDescent="0.45">
      <c r="A50" t="s">
        <v>64</v>
      </c>
      <c r="B50" t="s">
        <v>11</v>
      </c>
      <c r="C50">
        <v>2021</v>
      </c>
      <c r="D50" t="s">
        <v>12</v>
      </c>
      <c r="E50" t="s">
        <v>8</v>
      </c>
      <c r="F50">
        <v>7</v>
      </c>
      <c r="G50">
        <v>380</v>
      </c>
      <c r="H50">
        <v>80</v>
      </c>
      <c r="I50">
        <v>92</v>
      </c>
      <c r="J50">
        <v>36</v>
      </c>
      <c r="K50" t="s">
        <v>5</v>
      </c>
      <c r="L50">
        <v>5</v>
      </c>
    </row>
    <row r="51" spans="1:12" x14ac:dyDescent="0.45">
      <c r="A51" t="s">
        <v>65</v>
      </c>
      <c r="B51" t="s">
        <v>2</v>
      </c>
      <c r="C51">
        <v>2023</v>
      </c>
      <c r="D51" t="s">
        <v>3</v>
      </c>
      <c r="E51" t="s">
        <v>4</v>
      </c>
      <c r="F51">
        <v>6</v>
      </c>
      <c r="G51">
        <v>200</v>
      </c>
      <c r="H51">
        <v>85</v>
      </c>
      <c r="I51">
        <v>98</v>
      </c>
      <c r="J51">
        <v>12</v>
      </c>
      <c r="K51" t="s">
        <v>5</v>
      </c>
      <c r="L51">
        <v>5</v>
      </c>
    </row>
    <row r="56" spans="1:12" ht="72" x14ac:dyDescent="0.45">
      <c r="A56" s="10" t="s">
        <v>101</v>
      </c>
      <c r="B56" s="11" t="s">
        <v>68</v>
      </c>
      <c r="C56" s="11" t="s">
        <v>77</v>
      </c>
      <c r="D56" s="11" t="s">
        <v>71</v>
      </c>
      <c r="E56" s="11" t="s">
        <v>72</v>
      </c>
      <c r="F56" s="11" t="s">
        <v>73</v>
      </c>
      <c r="G56" s="11" t="s">
        <v>74</v>
      </c>
      <c r="H56" s="12" t="s">
        <v>76</v>
      </c>
    </row>
    <row r="57" spans="1:12" x14ac:dyDescent="0.45">
      <c r="A57" s="7" t="s">
        <v>83</v>
      </c>
      <c r="B57" s="1">
        <f>COUNT(C2:C51)</f>
        <v>50</v>
      </c>
      <c r="C57" s="1">
        <f>COUNT(F2:F51)</f>
        <v>50</v>
      </c>
      <c r="D57" s="1">
        <f t="shared" ref="D57:G57" si="0">COUNT(G2:G51)</f>
        <v>50</v>
      </c>
      <c r="E57" s="1">
        <f t="shared" si="0"/>
        <v>50</v>
      </c>
      <c r="F57" s="1">
        <f t="shared" si="0"/>
        <v>50</v>
      </c>
      <c r="G57" s="1">
        <f t="shared" si="0"/>
        <v>50</v>
      </c>
      <c r="H57" s="9">
        <f>COUNT(L2:L51)</f>
        <v>50</v>
      </c>
    </row>
    <row r="58" spans="1:12" x14ac:dyDescent="0.45">
      <c r="A58" s="7" t="s">
        <v>85</v>
      </c>
      <c r="B58" s="1">
        <f>AVERAGE(C2:C51)</f>
        <v>2020.56</v>
      </c>
      <c r="C58" s="1">
        <f>AVERAGE(F2:F51)</f>
        <v>6.6</v>
      </c>
      <c r="D58" s="1">
        <f t="shared" ref="D58:G58" si="1">AVERAGE(G2:G51)</f>
        <v>526.4</v>
      </c>
      <c r="E58" s="1">
        <f t="shared" si="1"/>
        <v>92.1</v>
      </c>
      <c r="F58" s="1">
        <f t="shared" si="1"/>
        <v>80.16</v>
      </c>
      <c r="G58" s="1">
        <f t="shared" si="1"/>
        <v>42.24</v>
      </c>
      <c r="H58" s="9">
        <f>AVERAGE(L2:L51)</f>
        <v>3.58</v>
      </c>
    </row>
    <row r="59" spans="1:12" x14ac:dyDescent="0.45">
      <c r="A59" s="7" t="s">
        <v>87</v>
      </c>
      <c r="B59" s="1">
        <f>_xlfn.STDEV.S(C2:C51)</f>
        <v>1.5670067658059526</v>
      </c>
      <c r="C59" s="1">
        <f>_xlfn.STDEV.S(F2:F51)</f>
        <v>1.4982983545287878</v>
      </c>
      <c r="D59" s="1">
        <f t="shared" ref="D59:G59" si="2">_xlfn.STDEV.S(G2:G51)</f>
        <v>220.40556309879739</v>
      </c>
      <c r="E59" s="1">
        <f t="shared" si="2"/>
        <v>6.8578868643991191</v>
      </c>
      <c r="F59" s="1">
        <f t="shared" si="2"/>
        <v>11.832780479563983</v>
      </c>
      <c r="G59" s="1">
        <f t="shared" si="2"/>
        <v>18.118160919421175</v>
      </c>
      <c r="H59" s="9">
        <f>_xlfn.STDEV.S(L2:L51)</f>
        <v>1.14446315727827</v>
      </c>
    </row>
    <row r="60" spans="1:12" x14ac:dyDescent="0.45">
      <c r="A60" s="7" t="s">
        <v>81</v>
      </c>
      <c r="B60" s="1">
        <f>MIN(C2:C51)</f>
        <v>2018</v>
      </c>
      <c r="C60" s="1">
        <f>MIN(F2:F51)</f>
        <v>4</v>
      </c>
      <c r="D60" s="1">
        <f t="shared" ref="D60:G60" si="3">MIN(G2:G51)</f>
        <v>180</v>
      </c>
      <c r="E60" s="1">
        <f t="shared" si="3"/>
        <v>80</v>
      </c>
      <c r="F60" s="1">
        <f t="shared" si="3"/>
        <v>55</v>
      </c>
      <c r="G60" s="1">
        <f t="shared" si="3"/>
        <v>12</v>
      </c>
      <c r="H60" s="9">
        <f>MIN(L2:L51)</f>
        <v>1</v>
      </c>
    </row>
    <row r="61" spans="1:12" ht="36" x14ac:dyDescent="0.45">
      <c r="A61" s="8" t="s">
        <v>90</v>
      </c>
      <c r="B61" s="1">
        <f>_xlfn.QUARTILE.INC(C2:C51,1)</f>
        <v>2019.25</v>
      </c>
      <c r="C61" s="1">
        <f>_xlfn.QUARTILE.INC(F2:F51,1)</f>
        <v>6</v>
      </c>
      <c r="D61" s="1">
        <f t="shared" ref="D61:G61" si="4">_xlfn.QUARTILE.INC(G2:G51,1)</f>
        <v>342.5</v>
      </c>
      <c r="E61" s="1">
        <f t="shared" si="4"/>
        <v>85</v>
      </c>
      <c r="F61" s="1">
        <f t="shared" si="4"/>
        <v>72.5</v>
      </c>
      <c r="G61" s="1">
        <f t="shared" si="4"/>
        <v>25.5</v>
      </c>
      <c r="H61" s="9">
        <f>_xlfn.QUARTILE.INC(L2:L51,1)</f>
        <v>3</v>
      </c>
    </row>
    <row r="62" spans="1:12" ht="36" x14ac:dyDescent="0.45">
      <c r="A62" s="8" t="s">
        <v>92</v>
      </c>
      <c r="B62" s="1">
        <f>MEDIAN(C2:C51)</f>
        <v>2021</v>
      </c>
      <c r="C62" s="1">
        <f>MEDIAN(F2:F51)</f>
        <v>6</v>
      </c>
      <c r="D62" s="1">
        <f t="shared" ref="D62:G62" si="5">MEDIAN(G2:G51)</f>
        <v>495</v>
      </c>
      <c r="E62" s="1">
        <f t="shared" si="5"/>
        <v>90</v>
      </c>
      <c r="F62" s="1">
        <f t="shared" si="5"/>
        <v>82.5</v>
      </c>
      <c r="G62" s="1">
        <f t="shared" si="5"/>
        <v>38</v>
      </c>
      <c r="H62" s="9">
        <f>MEDIAN(L2:L51)</f>
        <v>4</v>
      </c>
    </row>
    <row r="63" spans="1:12" ht="36" x14ac:dyDescent="0.45">
      <c r="A63" s="8" t="s">
        <v>94</v>
      </c>
      <c r="B63" s="1">
        <f>_xlfn.QUARTILE.INC(C2:C51,3)</f>
        <v>2022</v>
      </c>
      <c r="C63" s="1">
        <f>_xlfn.QUARTILE.INC(F2:F51,3)</f>
        <v>8</v>
      </c>
      <c r="D63" s="1">
        <f t="shared" ref="D63:G63" si="6">_xlfn.QUARTILE.INC(G2:G51,3)</f>
        <v>695</v>
      </c>
      <c r="E63" s="1">
        <f t="shared" si="6"/>
        <v>100</v>
      </c>
      <c r="F63" s="1">
        <f t="shared" si="6"/>
        <v>90</v>
      </c>
      <c r="G63" s="1">
        <f t="shared" si="6"/>
        <v>58.5</v>
      </c>
      <c r="H63" s="9">
        <f>_xlfn.QUARTILE.INC(L2:L51,3)</f>
        <v>4.75</v>
      </c>
    </row>
    <row r="64" spans="1:12" x14ac:dyDescent="0.45">
      <c r="A64" s="13" t="s">
        <v>79</v>
      </c>
      <c r="B64" s="14">
        <f>MAX(C2:C51)</f>
        <v>2023</v>
      </c>
      <c r="C64" s="14">
        <f>MAX(F2:F51)</f>
        <v>10</v>
      </c>
      <c r="D64" s="14">
        <f t="shared" ref="D64:G64" si="7">MAX(G2:G51)</f>
        <v>950</v>
      </c>
      <c r="E64" s="14">
        <f t="shared" si="7"/>
        <v>100</v>
      </c>
      <c r="F64" s="14">
        <f t="shared" si="7"/>
        <v>98</v>
      </c>
      <c r="G64" s="14">
        <f t="shared" si="7"/>
        <v>72</v>
      </c>
      <c r="H64" s="15">
        <f>MAX(L2:L51)</f>
        <v>5</v>
      </c>
    </row>
    <row r="68" spans="1:8" x14ac:dyDescent="0.45">
      <c r="A68" s="1"/>
      <c r="B68" s="6"/>
      <c r="C68" s="6"/>
      <c r="D68" s="6"/>
      <c r="E68" s="6"/>
      <c r="F68" s="6"/>
      <c r="G68" s="6"/>
      <c r="H68" s="6"/>
    </row>
    <row r="69" spans="1:8" x14ac:dyDescent="0.45">
      <c r="A69" s="3"/>
      <c r="B69" s="1"/>
      <c r="C69" s="1"/>
      <c r="D69" s="1"/>
      <c r="E69" s="1"/>
      <c r="F69" s="1"/>
      <c r="G69" s="1"/>
      <c r="H69" s="1"/>
    </row>
    <row r="70" spans="1:8" x14ac:dyDescent="0.45">
      <c r="A70" s="3"/>
      <c r="B70" s="1"/>
      <c r="C70" s="1"/>
      <c r="D70" s="1"/>
      <c r="E70" s="1"/>
      <c r="F70" s="1"/>
      <c r="G70" s="1"/>
      <c r="H70" s="1"/>
    </row>
    <row r="71" spans="1:8" x14ac:dyDescent="0.45">
      <c r="A71" s="3"/>
      <c r="B71" s="1"/>
      <c r="C71" s="1"/>
      <c r="D71" s="1"/>
      <c r="E71" s="1"/>
      <c r="F71" s="1"/>
      <c r="G71" s="1"/>
      <c r="H71" s="1"/>
    </row>
    <row r="72" spans="1:8" x14ac:dyDescent="0.45">
      <c r="A72" s="3"/>
      <c r="B72" s="1"/>
      <c r="C72" s="1"/>
      <c r="D72" s="1"/>
      <c r="E72" s="1"/>
      <c r="F72" s="1"/>
      <c r="G72" s="1"/>
      <c r="H72" s="1"/>
    </row>
    <row r="73" spans="1:8" x14ac:dyDescent="0.45">
      <c r="A73" s="5"/>
      <c r="B73" s="1"/>
      <c r="C73" s="1"/>
      <c r="D73" s="1"/>
      <c r="E73" s="1"/>
      <c r="F73" s="1"/>
      <c r="G73" s="1"/>
      <c r="H73" s="1"/>
    </row>
    <row r="74" spans="1:8" x14ac:dyDescent="0.45">
      <c r="A74" s="5"/>
      <c r="B74" s="1"/>
      <c r="C74" s="1"/>
      <c r="D74" s="1"/>
      <c r="E74" s="1"/>
      <c r="F74" s="1"/>
      <c r="G74" s="1"/>
      <c r="H74" s="1"/>
    </row>
    <row r="75" spans="1:8" x14ac:dyDescent="0.45">
      <c r="A75" s="5"/>
      <c r="B75" s="1"/>
      <c r="C75" s="1"/>
      <c r="D75" s="1"/>
      <c r="E75" s="1"/>
      <c r="F75" s="1"/>
      <c r="G75" s="1"/>
      <c r="H75" s="1"/>
    </row>
    <row r="76" spans="1:8" x14ac:dyDescent="0.45">
      <c r="A76" s="3"/>
      <c r="B76" s="1"/>
      <c r="C76" s="1"/>
      <c r="D76" s="1"/>
      <c r="E76" s="1"/>
      <c r="F76" s="1"/>
      <c r="G76" s="1"/>
      <c r="H76" s="1"/>
    </row>
  </sheetData>
  <phoneticPr fontId="18"/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E75D-934E-41AC-A7F6-74D05D99622C}">
  <dimension ref="A1"/>
  <sheetViews>
    <sheetView workbookViewId="0"/>
  </sheetViews>
  <sheetFormatPr defaultRowHeight="18" x14ac:dyDescent="0.45"/>
  <sheetData/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19D3-9B63-43BC-9A65-8FD9A1D02B79}">
  <dimension ref="A1:L16"/>
  <sheetViews>
    <sheetView workbookViewId="0">
      <selection sqref="A1:H9"/>
    </sheetView>
  </sheetViews>
  <sheetFormatPr defaultRowHeight="18" x14ac:dyDescent="0.45"/>
  <cols>
    <col min="2" max="2" width="19.3984375" bestFit="1" customWidth="1"/>
    <col min="3" max="3" width="24.09765625" bestFit="1" customWidth="1"/>
    <col min="4" max="4" width="16.09765625" bestFit="1" customWidth="1"/>
    <col min="5" max="5" width="17.796875" bestFit="1" customWidth="1"/>
    <col min="6" max="6" width="21.69921875" bestFit="1" customWidth="1"/>
    <col min="7" max="7" width="26.09765625" bestFit="1" customWidth="1"/>
    <col min="8" max="8" width="24" bestFit="1" customWidth="1"/>
  </cols>
  <sheetData>
    <row r="1" spans="1:12" ht="31.8" customHeight="1" x14ac:dyDescent="0.45">
      <c r="A1" s="1"/>
      <c r="B1" s="1" t="s">
        <v>68</v>
      </c>
      <c r="C1" s="1" t="s">
        <v>77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76</v>
      </c>
    </row>
    <row r="2" spans="1:12" x14ac:dyDescent="0.45">
      <c r="A2" s="3" t="s">
        <v>83</v>
      </c>
      <c r="B2" s="1">
        <f>COUNT(laptop_battery_health_usage!C2:C51)</f>
        <v>50</v>
      </c>
      <c r="C2" s="1"/>
      <c r="D2" s="1"/>
      <c r="E2" s="1"/>
      <c r="F2" s="1"/>
      <c r="G2" s="1"/>
      <c r="H2" s="1"/>
    </row>
    <row r="3" spans="1:12" x14ac:dyDescent="0.45">
      <c r="A3" s="3" t="s">
        <v>85</v>
      </c>
      <c r="B3" s="1">
        <f>AVERAGE(laptop_battery_health_usage!C2:C51)</f>
        <v>2020.56</v>
      </c>
      <c r="C3" s="1"/>
      <c r="D3" s="1"/>
      <c r="E3" s="1"/>
      <c r="F3" s="1"/>
      <c r="G3" s="1"/>
      <c r="H3" s="1"/>
    </row>
    <row r="4" spans="1:12" x14ac:dyDescent="0.45">
      <c r="A4" s="3" t="s">
        <v>87</v>
      </c>
      <c r="B4" s="1">
        <f>_xlfn.STDEV.S(laptop_battery_health_usage!C2:C51)</f>
        <v>1.5670067658059526</v>
      </c>
      <c r="C4" s="1"/>
      <c r="D4" s="1"/>
      <c r="E4" s="1"/>
      <c r="F4" s="1"/>
      <c r="G4" s="1"/>
      <c r="H4" s="1"/>
    </row>
    <row r="5" spans="1:12" x14ac:dyDescent="0.45">
      <c r="A5" s="3" t="s">
        <v>81</v>
      </c>
      <c r="B5" s="1">
        <f>MIN(laptop_battery_health_usage!C2:C51)</f>
        <v>2018</v>
      </c>
      <c r="C5" s="1"/>
      <c r="D5" s="1"/>
      <c r="E5" s="1"/>
      <c r="F5" s="1"/>
      <c r="G5" s="1"/>
      <c r="H5" s="1"/>
    </row>
    <row r="6" spans="1:12" x14ac:dyDescent="0.45">
      <c r="A6" s="4">
        <v>0.25</v>
      </c>
      <c r="B6" s="1">
        <f>_xlfn.QUARTILE.INC(laptop_battery_health_usage!C2:C51,1)</f>
        <v>2019.25</v>
      </c>
      <c r="C6" s="1"/>
      <c r="D6" s="1"/>
      <c r="E6" s="1"/>
      <c r="F6" s="1"/>
      <c r="G6" s="1"/>
      <c r="H6" s="1"/>
    </row>
    <row r="7" spans="1:12" x14ac:dyDescent="0.45">
      <c r="A7" s="4">
        <v>0.5</v>
      </c>
      <c r="B7" s="1">
        <f>MEDIAN(laptop_battery_health_usage!C2:C51)</f>
        <v>2021</v>
      </c>
      <c r="C7" s="1"/>
      <c r="D7" s="1"/>
      <c r="E7" s="1"/>
      <c r="F7" s="1"/>
      <c r="G7" s="1"/>
      <c r="H7" s="1"/>
    </row>
    <row r="8" spans="1:12" x14ac:dyDescent="0.45">
      <c r="A8" s="4">
        <v>0.75</v>
      </c>
      <c r="B8" s="1">
        <f>_xlfn.QUARTILE.INC(laptop_battery_health_usage!C2:C51,2)</f>
        <v>2021</v>
      </c>
      <c r="C8" s="1"/>
      <c r="D8" s="1"/>
      <c r="E8" s="1"/>
      <c r="F8" s="1"/>
      <c r="G8" s="1"/>
      <c r="H8" s="1"/>
    </row>
    <row r="9" spans="1:12" x14ac:dyDescent="0.45">
      <c r="A9" s="3" t="s">
        <v>79</v>
      </c>
      <c r="B9" s="1">
        <f>MAX(laptop_battery_health_usage!C2:C51)</f>
        <v>2023</v>
      </c>
      <c r="C9" s="1"/>
      <c r="D9" s="1"/>
      <c r="E9" s="1"/>
      <c r="F9" s="1"/>
      <c r="G9" s="1"/>
      <c r="H9" s="1"/>
    </row>
    <row r="10" spans="1:12" x14ac:dyDescent="0.45">
      <c r="A10" s="2"/>
    </row>
    <row r="11" spans="1:12" x14ac:dyDescent="0.45">
      <c r="A11" s="2"/>
      <c r="L11" s="1"/>
    </row>
    <row r="14" spans="1:12" x14ac:dyDescent="0.45">
      <c r="K14" s="1"/>
      <c r="L14" s="1"/>
    </row>
    <row r="15" spans="1:12" x14ac:dyDescent="0.45">
      <c r="K15" s="1"/>
      <c r="L15" s="1"/>
    </row>
    <row r="16" spans="1:12" x14ac:dyDescent="0.45">
      <c r="K16" s="1"/>
      <c r="L16" s="1"/>
    </row>
  </sheetData>
  <phoneticPr fontId="18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4C380A-18B8-477B-85B7-60204C889F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Table1</vt:lpstr>
      <vt:lpstr>Sheet3</vt:lpstr>
      <vt:lpstr>Table3</vt:lpstr>
      <vt:lpstr>laptop_battery_health_usage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 Taw</cp:lastModifiedBy>
  <dcterms:created xsi:type="dcterms:W3CDTF">2025-12-18T10:20:13Z</dcterms:created>
  <dcterms:modified xsi:type="dcterms:W3CDTF">2026-01-05T13:58:14Z</dcterms:modified>
</cp:coreProperties>
</file>